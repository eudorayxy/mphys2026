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eudora_yap_student_manchester_ac_uk/Documents/1 MPhys Project/CE-ASL/"/>
    </mc:Choice>
  </mc:AlternateContent>
  <xr:revisionPtr revIDLastSave="191" documentId="8_{8785E9C7-E74B-4992-B946-61771CB5E3F0}" xr6:coauthVersionLast="47" xr6:coauthVersionMax="47" xr10:uidLastSave="{F004EEB1-20F5-4512-AB38-DD06FC353A65}"/>
  <bookViews>
    <workbookView xWindow="-90" yWindow="0" windowWidth="9780" windowHeight="11370" activeTab="5" xr2:uid="{4775F473-BD51-4BD0-B39B-048C7FB8FD18}"/>
  </bookViews>
  <sheets>
    <sheet name="Sheet1" sheetId="1" r:id="rId1"/>
    <sheet name="Sheet2" sheetId="2" r:id="rId2"/>
    <sheet name="2visits" sheetId="3" r:id="rId3"/>
    <sheet name="amyloid and mci" sheetId="4" r:id="rId4"/>
    <sheet name="QRisk and MCI" sheetId="5" r:id="rId5"/>
    <sheet name="Sheet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6" l="1"/>
  <c r="D42" i="6"/>
  <c r="B42" i="6"/>
  <c r="C41" i="6"/>
  <c r="D41" i="6"/>
  <c r="B41" i="6"/>
  <c r="I41" i="5"/>
  <c r="J41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2" i="5"/>
  <c r="H40" i="5"/>
  <c r="G40" i="5"/>
  <c r="F40" i="5"/>
  <c r="E40" i="5"/>
  <c r="D40" i="5"/>
  <c r="H39" i="5"/>
  <c r="G39" i="5"/>
  <c r="F39" i="5"/>
  <c r="E39" i="5"/>
  <c r="D39" i="5"/>
  <c r="H38" i="5"/>
  <c r="G38" i="5"/>
  <c r="F38" i="5"/>
  <c r="E38" i="5"/>
  <c r="D38" i="5"/>
  <c r="H37" i="5"/>
  <c r="G37" i="5"/>
  <c r="F37" i="5"/>
  <c r="E37" i="5"/>
  <c r="D37" i="5"/>
  <c r="H36" i="5"/>
  <c r="G36" i="5"/>
  <c r="F36" i="5"/>
  <c r="E36" i="5"/>
  <c r="D36" i="5"/>
  <c r="H35" i="5"/>
  <c r="G35" i="5"/>
  <c r="F35" i="5"/>
  <c r="E35" i="5"/>
  <c r="D35" i="5"/>
  <c r="H34" i="5"/>
  <c r="G34" i="5"/>
  <c r="F34" i="5"/>
  <c r="E34" i="5"/>
  <c r="D34" i="5"/>
  <c r="H33" i="5"/>
  <c r="G33" i="5"/>
  <c r="F33" i="5"/>
  <c r="E33" i="5"/>
  <c r="D33" i="5"/>
  <c r="H32" i="5"/>
  <c r="G32" i="5"/>
  <c r="F32" i="5"/>
  <c r="E32" i="5"/>
  <c r="D32" i="5"/>
  <c r="H31" i="5"/>
  <c r="G31" i="5"/>
  <c r="F31" i="5"/>
  <c r="E31" i="5"/>
  <c r="D31" i="5"/>
  <c r="H30" i="5"/>
  <c r="G30" i="5"/>
  <c r="F30" i="5"/>
  <c r="E30" i="5"/>
  <c r="D30" i="5"/>
  <c r="H29" i="5"/>
  <c r="G29" i="5"/>
  <c r="F29" i="5"/>
  <c r="E29" i="5"/>
  <c r="D29" i="5"/>
  <c r="H28" i="5"/>
  <c r="G28" i="5"/>
  <c r="F28" i="5"/>
  <c r="E28" i="5"/>
  <c r="D28" i="5"/>
  <c r="H27" i="5"/>
  <c r="G27" i="5"/>
  <c r="F27" i="5"/>
  <c r="E27" i="5"/>
  <c r="D27" i="5"/>
  <c r="H26" i="5"/>
  <c r="G26" i="5"/>
  <c r="F26" i="5"/>
  <c r="E26" i="5"/>
  <c r="D26" i="5"/>
  <c r="H25" i="5"/>
  <c r="G25" i="5"/>
  <c r="F25" i="5"/>
  <c r="E25" i="5"/>
  <c r="D25" i="5"/>
  <c r="H24" i="5"/>
  <c r="G24" i="5"/>
  <c r="F24" i="5"/>
  <c r="E24" i="5"/>
  <c r="D24" i="5"/>
  <c r="H23" i="5"/>
  <c r="G23" i="5"/>
  <c r="F23" i="5"/>
  <c r="E23" i="5"/>
  <c r="D23" i="5"/>
  <c r="H22" i="5"/>
  <c r="G22" i="5"/>
  <c r="F22" i="5"/>
  <c r="E22" i="5"/>
  <c r="D22" i="5"/>
  <c r="H21" i="5"/>
  <c r="G21" i="5"/>
  <c r="F21" i="5"/>
  <c r="E21" i="5"/>
  <c r="D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H17" i="5"/>
  <c r="G17" i="5"/>
  <c r="F17" i="5"/>
  <c r="E17" i="5"/>
  <c r="D17" i="5"/>
  <c r="H16" i="5"/>
  <c r="G16" i="5"/>
  <c r="F16" i="5"/>
  <c r="E16" i="5"/>
  <c r="D16" i="5"/>
  <c r="H15" i="5"/>
  <c r="G15" i="5"/>
  <c r="F15" i="5"/>
  <c r="E15" i="5"/>
  <c r="D15" i="5"/>
  <c r="H14" i="5"/>
  <c r="H13" i="5"/>
  <c r="G13" i="5"/>
  <c r="F13" i="5"/>
  <c r="E13" i="5"/>
  <c r="D13" i="5"/>
  <c r="H12" i="5"/>
  <c r="G12" i="5"/>
  <c r="F12" i="5"/>
  <c r="E12" i="5"/>
  <c r="D12" i="5"/>
  <c r="H11" i="5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G8" i="5"/>
  <c r="F8" i="5"/>
  <c r="E8" i="5"/>
  <c r="D8" i="5"/>
  <c r="H7" i="5"/>
  <c r="G7" i="5"/>
  <c r="F7" i="5"/>
  <c r="E7" i="5"/>
  <c r="D7" i="5"/>
  <c r="H6" i="5"/>
  <c r="G6" i="5"/>
  <c r="F6" i="5"/>
  <c r="E6" i="5"/>
  <c r="D6" i="5"/>
  <c r="H5" i="5"/>
  <c r="G5" i="5"/>
  <c r="F5" i="5"/>
  <c r="E5" i="5"/>
  <c r="D5" i="5"/>
  <c r="H4" i="5"/>
  <c r="G4" i="5"/>
  <c r="F4" i="5"/>
  <c r="E4" i="5"/>
  <c r="D4" i="5"/>
  <c r="H3" i="5"/>
  <c r="G3" i="5"/>
  <c r="F3" i="5"/>
  <c r="E3" i="5"/>
  <c r="D3" i="5"/>
  <c r="H2" i="5"/>
  <c r="G2" i="5"/>
  <c r="F2" i="5"/>
  <c r="E2" i="5"/>
  <c r="D2" i="5"/>
  <c r="H1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33" i="4"/>
  <c r="I33" i="4"/>
  <c r="H34" i="4"/>
  <c r="I34" i="4"/>
  <c r="H35" i="4"/>
  <c r="I35" i="4"/>
  <c r="H36" i="4"/>
  <c r="I36" i="4"/>
  <c r="H38" i="4"/>
  <c r="I38" i="4"/>
  <c r="H39" i="4"/>
  <c r="I39" i="4"/>
  <c r="H40" i="4"/>
  <c r="I40" i="4"/>
  <c r="H2" i="4"/>
  <c r="H41" i="4" s="1"/>
  <c r="I2" i="4"/>
  <c r="I41" i="4" s="1"/>
  <c r="G3" i="4"/>
  <c r="G4" i="4"/>
  <c r="G5" i="4"/>
  <c r="G6" i="4"/>
  <c r="G7" i="4"/>
  <c r="G8" i="4"/>
  <c r="G9" i="4"/>
  <c r="G10" i="4"/>
  <c r="G11" i="4"/>
  <c r="G12" i="4"/>
  <c r="G13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8" i="4"/>
  <c r="G39" i="4"/>
  <c r="G40" i="4"/>
  <c r="G2" i="4"/>
  <c r="F3" i="4"/>
  <c r="F4" i="4"/>
  <c r="F5" i="4"/>
  <c r="F6" i="4"/>
  <c r="F7" i="4"/>
  <c r="F8" i="4"/>
  <c r="F9" i="4"/>
  <c r="F10" i="4"/>
  <c r="F11" i="4"/>
  <c r="F12" i="4"/>
  <c r="F13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8" i="4"/>
  <c r="F39" i="4"/>
  <c r="F40" i="4"/>
  <c r="F2" i="4"/>
  <c r="E3" i="4"/>
  <c r="E4" i="4"/>
  <c r="E5" i="4"/>
  <c r="E6" i="4"/>
  <c r="E7" i="4"/>
  <c r="E8" i="4"/>
  <c r="E9" i="4"/>
  <c r="E10" i="4"/>
  <c r="E11" i="4"/>
  <c r="E12" i="4"/>
  <c r="E13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8" i="4"/>
  <c r="E39" i="4"/>
  <c r="E40" i="4"/>
  <c r="E2" i="4"/>
  <c r="E41" i="4" s="1"/>
  <c r="D3" i="4"/>
  <c r="D4" i="4"/>
  <c r="D5" i="4"/>
  <c r="D6" i="4"/>
  <c r="D7" i="4"/>
  <c r="D8" i="4"/>
  <c r="D9" i="4"/>
  <c r="D10" i="4"/>
  <c r="D11" i="4"/>
  <c r="D12" i="4"/>
  <c r="D13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8" i="4"/>
  <c r="D39" i="4"/>
  <c r="D40" i="4"/>
  <c r="D2" i="4"/>
  <c r="D41" i="4" s="1"/>
  <c r="B44" i="2"/>
  <c r="E18" i="3"/>
  <c r="B18" i="3"/>
  <c r="B17" i="3"/>
  <c r="B16" i="3"/>
  <c r="C43" i="2"/>
  <c r="B43" i="2"/>
  <c r="C42" i="2"/>
  <c r="B42" i="2"/>
  <c r="G41" i="4" l="1"/>
  <c r="F41" i="4"/>
  <c r="H41" i="5"/>
  <c r="G41" i="5"/>
  <c r="F41" i="5"/>
  <c r="D41" i="5"/>
  <c r="E41" i="5"/>
  <c r="L3" i="1"/>
  <c r="M3" i="1"/>
  <c r="N3" i="1"/>
  <c r="L4" i="1"/>
  <c r="M4" i="1"/>
  <c r="L5" i="1"/>
  <c r="M5" i="1"/>
  <c r="L6" i="1"/>
  <c r="M6" i="1"/>
  <c r="L7" i="1"/>
  <c r="M7" i="1"/>
  <c r="L8" i="1"/>
  <c r="M8" i="1"/>
  <c r="L9" i="1"/>
  <c r="L10" i="1"/>
  <c r="L11" i="1"/>
  <c r="L12" i="1"/>
  <c r="L13" i="1"/>
  <c r="M13" i="1"/>
  <c r="L14" i="1"/>
  <c r="M14" i="1"/>
  <c r="L15" i="1"/>
  <c r="M15" i="1"/>
  <c r="L16" i="1"/>
  <c r="L17" i="1"/>
  <c r="L18" i="1"/>
  <c r="L19" i="1"/>
  <c r="L20" i="1"/>
  <c r="M20" i="1"/>
  <c r="L21" i="1"/>
  <c r="L22" i="1"/>
  <c r="L23" i="1"/>
  <c r="L24" i="1"/>
  <c r="L25" i="1"/>
  <c r="L26" i="1"/>
  <c r="M26" i="1"/>
  <c r="L27" i="1"/>
  <c r="L28" i="1"/>
  <c r="M28" i="1"/>
  <c r="L30" i="1"/>
  <c r="L31" i="1"/>
  <c r="L32" i="1"/>
  <c r="L33" i="1"/>
  <c r="L36" i="1"/>
  <c r="L37" i="1"/>
  <c r="L38" i="1"/>
  <c r="L39" i="1"/>
  <c r="L40" i="1"/>
  <c r="M2" i="1"/>
  <c r="L2" i="1"/>
  <c r="P3" i="1" l="1"/>
  <c r="Q3" i="1" s="1"/>
  <c r="O3" i="1" s="1"/>
  <c r="P4" i="1"/>
  <c r="Q4" i="1" s="1"/>
  <c r="O4" i="1" s="1"/>
  <c r="P5" i="1"/>
  <c r="Q5" i="1" s="1"/>
  <c r="O5" i="1" s="1"/>
  <c r="P6" i="1"/>
  <c r="Q6" i="1" s="1"/>
  <c r="O6" i="1" s="1"/>
  <c r="P7" i="1"/>
  <c r="Q7" i="1" s="1"/>
  <c r="O7" i="1" s="1"/>
  <c r="P8" i="1"/>
  <c r="Q8" i="1" s="1"/>
  <c r="O8" i="1" s="1"/>
  <c r="P9" i="1"/>
  <c r="Q9" i="1" s="1"/>
  <c r="P10" i="1"/>
  <c r="Q10" i="1" s="1"/>
  <c r="P11" i="1"/>
  <c r="Q11" i="1" s="1"/>
  <c r="P12" i="1"/>
  <c r="Q12" i="1" s="1"/>
  <c r="P13" i="1"/>
  <c r="Q13" i="1" s="1"/>
  <c r="O13" i="1" s="1"/>
  <c r="P14" i="1"/>
  <c r="Q14" i="1" s="1"/>
  <c r="O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2" i="1"/>
  <c r="Q2" i="1" s="1"/>
  <c r="O2" i="1" s="1"/>
</calcChain>
</file>

<file path=xl/sharedStrings.xml><?xml version="1.0" encoding="utf-8"?>
<sst xmlns="http://schemas.openxmlformats.org/spreadsheetml/2006/main" count="588" uniqueCount="46">
  <si>
    <t>ID</t>
  </si>
  <si>
    <t>Sex</t>
  </si>
  <si>
    <t>F</t>
  </si>
  <si>
    <t>M</t>
  </si>
  <si>
    <t>MCI</t>
  </si>
  <si>
    <t>MoCA</t>
  </si>
  <si>
    <t>N</t>
  </si>
  <si>
    <t>Y</t>
  </si>
  <si>
    <t>n/a</t>
  </si>
  <si>
    <t>HCT</t>
  </si>
  <si>
    <t>T1b</t>
  </si>
  <si>
    <t>HCT2</t>
  </si>
  <si>
    <t>HCT3</t>
  </si>
  <si>
    <t>HCT4</t>
  </si>
  <si>
    <t>Amyloid</t>
  </si>
  <si>
    <t>QRISK category</t>
  </si>
  <si>
    <t>N/A</t>
  </si>
  <si>
    <t>VF</t>
  </si>
  <si>
    <t>DSS</t>
  </si>
  <si>
    <t>Education</t>
  </si>
  <si>
    <t>20+</t>
  </si>
  <si>
    <t xml:space="preserve">              20+</t>
  </si>
  <si>
    <t>T1b2</t>
  </si>
  <si>
    <t>T1b3</t>
  </si>
  <si>
    <t>T1b4</t>
  </si>
  <si>
    <t>T1b_sigma</t>
  </si>
  <si>
    <t>Age (yrs)</t>
  </si>
  <si>
    <t>21 F</t>
  </si>
  <si>
    <t>6Y 7N</t>
  </si>
  <si>
    <t>12Y 2N</t>
  </si>
  <si>
    <t>18M</t>
  </si>
  <si>
    <t>MCI &amp; Amyloid +</t>
  </si>
  <si>
    <t>MCI &amp; Amyloid -</t>
  </si>
  <si>
    <t>non-MCI &amp; Amyloid +</t>
  </si>
  <si>
    <t>non-MCI &amp; Amyloid -</t>
  </si>
  <si>
    <t>non-MCI &amp; Amyloid N/A</t>
  </si>
  <si>
    <t>MCI &amp; Amyloid N/A</t>
  </si>
  <si>
    <t>MCI &amp; high Qrisk</t>
  </si>
  <si>
    <t>MCI &amp; low Qrisk</t>
  </si>
  <si>
    <t>non-MCI &amp; high Qrisk</t>
  </si>
  <si>
    <t>non-MCI &amp; low Qrisk</t>
  </si>
  <si>
    <t>non-MCI &amp; Qrisk N/A</t>
  </si>
  <si>
    <t>MCI &amp; Qrisk N/A</t>
  </si>
  <si>
    <t>QRISK 1st BP</t>
  </si>
  <si>
    <t>QRISK mean BP</t>
  </si>
  <si>
    <t>Qrisk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</si>
</sst>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"/>
    <numFmt numFmtId="165" formatCode="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5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1" fillId="0" borderId="0" xfId="0" applyFont="1"/>
    <xf numFmtId="165" fontId="1" fillId="0" borderId="0" xfId="0" applyNumberFormat="1" applyFont="1"/>
    <xf numFmtId="166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2597-20B7-40E9-AC5C-442FC1C3806D}">
  <dimension ref="A1:V40"/>
  <sheetViews>
    <sheetView topLeftCell="A4" zoomScaleNormal="100" workbookViewId="0">
      <pane xSplit="1" topLeftCell="B1" activePane="topRight" state="frozen"/>
      <selection pane="topRight" activeCell="W4" sqref="W4"/>
    </sheetView>
  </sheetViews>
  <sheetFormatPr defaultRowHeight="14.5" x14ac:dyDescent="0.35"/>
  <cols>
    <col min="8" max="8" width="12.08984375" customWidth="1"/>
    <col min="9" max="9" width="17.453125" customWidth="1"/>
    <col min="10" max="10" width="14.7265625" customWidth="1"/>
    <col min="11" max="11" width="17.08984375" customWidth="1"/>
  </cols>
  <sheetData>
    <row r="1" spans="1:22" x14ac:dyDescent="0.35">
      <c r="A1" s="3" t="s">
        <v>0</v>
      </c>
      <c r="B1" s="10" t="s">
        <v>26</v>
      </c>
      <c r="C1" s="3" t="s">
        <v>1</v>
      </c>
      <c r="D1" s="8" t="s">
        <v>4</v>
      </c>
      <c r="E1" s="8" t="s">
        <v>5</v>
      </c>
      <c r="F1" s="10" t="s">
        <v>17</v>
      </c>
      <c r="G1" s="10" t="s">
        <v>18</v>
      </c>
      <c r="H1" s="10" t="s">
        <v>19</v>
      </c>
      <c r="I1" t="s">
        <v>11</v>
      </c>
      <c r="J1" t="s">
        <v>12</v>
      </c>
      <c r="K1" t="s">
        <v>13</v>
      </c>
      <c r="L1" t="s">
        <v>22</v>
      </c>
      <c r="M1" t="s">
        <v>23</v>
      </c>
      <c r="N1" t="s">
        <v>24</v>
      </c>
      <c r="O1" t="s">
        <v>25</v>
      </c>
      <c r="P1" t="s">
        <v>9</v>
      </c>
      <c r="Q1" t="s">
        <v>10</v>
      </c>
      <c r="R1" s="8" t="s">
        <v>14</v>
      </c>
      <c r="S1" s="8" t="s">
        <v>15</v>
      </c>
      <c r="T1" s="10" t="s">
        <v>43</v>
      </c>
      <c r="U1" s="10" t="s">
        <v>44</v>
      </c>
      <c r="V1" t="s">
        <v>45</v>
      </c>
    </row>
    <row r="2" spans="1:22" x14ac:dyDescent="0.35">
      <c r="A2" s="1">
        <v>1</v>
      </c>
      <c r="B2">
        <v>67</v>
      </c>
      <c r="C2" s="1" t="s">
        <v>2</v>
      </c>
      <c r="D2" s="7" t="s">
        <v>6</v>
      </c>
      <c r="E2" s="7">
        <v>29</v>
      </c>
      <c r="F2">
        <v>15</v>
      </c>
      <c r="G2">
        <v>45</v>
      </c>
      <c r="H2" s="2" t="s">
        <v>20</v>
      </c>
      <c r="I2">
        <v>0.36199999999999999</v>
      </c>
      <c r="J2" s="2">
        <v>0.38700000000000001</v>
      </c>
      <c r="L2">
        <f>1/(I2*0.52+0.38)</f>
        <v>1.759819794453048</v>
      </c>
      <c r="M2">
        <f t="shared" ref="M2" si="0">1/(J2*0.52+0.38)</f>
        <v>1.720459706833666</v>
      </c>
      <c r="O2">
        <f>_xlfn.STDEV.P(L2:N2)/Q2</f>
        <v>1.1310908379181816E-2</v>
      </c>
      <c r="P2">
        <f t="shared" ref="P2:P24" si="1">AVERAGE(I2:K2)</f>
        <v>0.3745</v>
      </c>
      <c r="Q2">
        <f t="shared" ref="Q2:Q24" si="2">1/(P2*0.52+0.38)</f>
        <v>1.7399171799422346</v>
      </c>
      <c r="R2" s="7" t="s">
        <v>6</v>
      </c>
      <c r="S2" s="7" t="s">
        <v>6</v>
      </c>
      <c r="T2">
        <v>13.1</v>
      </c>
      <c r="U2">
        <v>12.4</v>
      </c>
      <c r="V2">
        <v>12.4</v>
      </c>
    </row>
    <row r="3" spans="1:22" x14ac:dyDescent="0.35">
      <c r="A3" s="1">
        <v>2</v>
      </c>
      <c r="B3">
        <v>67</v>
      </c>
      <c r="C3" s="1" t="s">
        <v>3</v>
      </c>
      <c r="D3" s="7" t="s">
        <v>7</v>
      </c>
      <c r="E3" s="7">
        <v>23</v>
      </c>
      <c r="F3">
        <v>8</v>
      </c>
      <c r="G3">
        <v>36</v>
      </c>
      <c r="H3">
        <v>10</v>
      </c>
      <c r="I3">
        <v>0.45400000000000001</v>
      </c>
      <c r="J3">
        <v>0.43099999999999999</v>
      </c>
      <c r="K3">
        <v>0.436</v>
      </c>
      <c r="L3">
        <f t="shared" ref="L3:L40" si="3">1/(I3*0.52+0.38)</f>
        <v>1.6231658226204391</v>
      </c>
      <c r="M3">
        <f t="shared" ref="M3:M28" si="4">1/(J3*0.52+0.38)</f>
        <v>1.6553002714692446</v>
      </c>
      <c r="N3">
        <f t="shared" ref="N3" si="5">1/(K3*0.52+0.38)</f>
        <v>1.6482067510548521</v>
      </c>
      <c r="O3">
        <f>_xlfn.STDEV.P(L3:N3)/Q3</f>
        <v>8.3940909486985554E-3</v>
      </c>
      <c r="P3">
        <f t="shared" si="1"/>
        <v>0.4403333333333333</v>
      </c>
      <c r="Q3">
        <f t="shared" si="2"/>
        <v>1.6421080288135221</v>
      </c>
      <c r="R3" s="7" t="s">
        <v>16</v>
      </c>
      <c r="S3" s="7" t="s">
        <v>6</v>
      </c>
      <c r="T3">
        <v>13.9</v>
      </c>
      <c r="U3">
        <v>13.7</v>
      </c>
      <c r="V3">
        <v>13.7</v>
      </c>
    </row>
    <row r="4" spans="1:22" x14ac:dyDescent="0.35">
      <c r="A4" s="1">
        <v>3</v>
      </c>
      <c r="B4">
        <v>72</v>
      </c>
      <c r="C4" s="1" t="s">
        <v>2</v>
      </c>
      <c r="D4" s="7" t="s">
        <v>7</v>
      </c>
      <c r="E4" s="7">
        <v>24</v>
      </c>
      <c r="F4">
        <v>39</v>
      </c>
      <c r="G4">
        <v>55</v>
      </c>
      <c r="H4">
        <v>16</v>
      </c>
      <c r="I4">
        <v>0.34699999999999998</v>
      </c>
      <c r="J4">
        <v>0.39800000000000002</v>
      </c>
      <c r="L4">
        <f t="shared" si="3"/>
        <v>1.7843123260295481</v>
      </c>
      <c r="M4">
        <f t="shared" si="4"/>
        <v>1.7036936077415836</v>
      </c>
      <c r="O4">
        <f t="shared" ref="O4:O14" si="6">_xlfn.STDEV.P(L4:N4)/Q4</f>
        <v>2.3125479340902623E-2</v>
      </c>
      <c r="P4">
        <f t="shared" si="1"/>
        <v>0.3725</v>
      </c>
      <c r="Q4">
        <f t="shared" si="2"/>
        <v>1.7430712916158271</v>
      </c>
      <c r="R4" s="7" t="s">
        <v>7</v>
      </c>
      <c r="S4" s="7" t="s">
        <v>6</v>
      </c>
      <c r="T4">
        <v>10.9</v>
      </c>
      <c r="U4">
        <v>10.9</v>
      </c>
      <c r="V4">
        <v>10.9</v>
      </c>
    </row>
    <row r="5" spans="1:22" x14ac:dyDescent="0.35">
      <c r="A5" s="1">
        <v>4</v>
      </c>
      <c r="B5">
        <v>71</v>
      </c>
      <c r="C5" s="1" t="s">
        <v>3</v>
      </c>
      <c r="D5" s="7" t="s">
        <v>6</v>
      </c>
      <c r="E5" s="7">
        <v>27</v>
      </c>
      <c r="F5">
        <v>16</v>
      </c>
      <c r="G5">
        <v>50</v>
      </c>
      <c r="H5">
        <v>20</v>
      </c>
      <c r="I5">
        <v>0.41099999999999998</v>
      </c>
      <c r="J5">
        <v>0.40600000000000003</v>
      </c>
      <c r="L5">
        <f t="shared" si="3"/>
        <v>1.6842956275685508</v>
      </c>
      <c r="M5">
        <f t="shared" si="4"/>
        <v>1.6917038841521177</v>
      </c>
      <c r="O5">
        <f t="shared" si="6"/>
        <v>2.1943996826183569E-3</v>
      </c>
      <c r="P5">
        <f t="shared" si="1"/>
        <v>0.40849999999999997</v>
      </c>
      <c r="Q5">
        <f t="shared" si="2"/>
        <v>1.6879916275615274</v>
      </c>
      <c r="R5" s="7" t="s">
        <v>6</v>
      </c>
      <c r="S5" s="7" t="s">
        <v>7</v>
      </c>
      <c r="T5">
        <v>17.8</v>
      </c>
      <c r="U5">
        <v>17.8</v>
      </c>
      <c r="V5">
        <v>17.8</v>
      </c>
    </row>
    <row r="6" spans="1:22" x14ac:dyDescent="0.35">
      <c r="A6" s="1">
        <v>5</v>
      </c>
      <c r="B6">
        <v>75</v>
      </c>
      <c r="C6" s="1" t="s">
        <v>2</v>
      </c>
      <c r="D6" s="7" t="s">
        <v>7</v>
      </c>
      <c r="E6" s="7">
        <v>21</v>
      </c>
      <c r="F6">
        <v>13</v>
      </c>
      <c r="G6">
        <v>32</v>
      </c>
      <c r="H6">
        <v>16</v>
      </c>
      <c r="I6">
        <v>0.38600000000000001</v>
      </c>
      <c r="J6">
        <v>0.39300000000000002</v>
      </c>
      <c r="L6">
        <f t="shared" si="3"/>
        <v>1.7220002755200441</v>
      </c>
      <c r="M6">
        <f t="shared" si="4"/>
        <v>1.7112738722705183</v>
      </c>
      <c r="O6">
        <f t="shared" si="6"/>
        <v>3.1242794744893755E-3</v>
      </c>
      <c r="P6">
        <f t="shared" si="1"/>
        <v>0.38950000000000001</v>
      </c>
      <c r="Q6">
        <f t="shared" si="2"/>
        <v>1.7166203179180828</v>
      </c>
      <c r="R6" s="7" t="s">
        <v>7</v>
      </c>
      <c r="S6" s="7" t="s">
        <v>7</v>
      </c>
      <c r="T6">
        <v>21.3</v>
      </c>
      <c r="U6">
        <v>21.3</v>
      </c>
      <c r="V6">
        <v>21.3</v>
      </c>
    </row>
    <row r="7" spans="1:22" x14ac:dyDescent="0.35">
      <c r="A7" s="1">
        <v>6</v>
      </c>
      <c r="B7">
        <v>73</v>
      </c>
      <c r="C7" s="1" t="s">
        <v>3</v>
      </c>
      <c r="D7" s="7" t="s">
        <v>7</v>
      </c>
      <c r="E7" s="7">
        <v>17</v>
      </c>
      <c r="F7">
        <v>10</v>
      </c>
      <c r="G7">
        <v>21</v>
      </c>
      <c r="H7">
        <v>11</v>
      </c>
      <c r="I7">
        <v>0.38600000000000001</v>
      </c>
      <c r="J7">
        <v>0.371</v>
      </c>
      <c r="L7">
        <f t="shared" si="3"/>
        <v>1.7220002755200441</v>
      </c>
      <c r="M7">
        <f t="shared" si="4"/>
        <v>1.74544439014173</v>
      </c>
      <c r="O7">
        <f t="shared" si="6"/>
        <v>6.761517098040442E-3</v>
      </c>
      <c r="P7">
        <f t="shared" si="1"/>
        <v>0.3785</v>
      </c>
      <c r="Q7">
        <f t="shared" si="2"/>
        <v>1.7336430775631912</v>
      </c>
      <c r="R7" s="7" t="s">
        <v>7</v>
      </c>
      <c r="S7" s="7" t="s">
        <v>7</v>
      </c>
      <c r="T7">
        <v>44.5</v>
      </c>
      <c r="U7">
        <v>44.5</v>
      </c>
      <c r="V7">
        <v>44.5</v>
      </c>
    </row>
    <row r="8" spans="1:22" x14ac:dyDescent="0.35">
      <c r="A8" s="1">
        <v>7</v>
      </c>
      <c r="B8">
        <v>75</v>
      </c>
      <c r="C8" s="1" t="s">
        <v>3</v>
      </c>
      <c r="D8" s="7" t="s">
        <v>7</v>
      </c>
      <c r="E8" s="7">
        <v>26</v>
      </c>
      <c r="F8">
        <v>11</v>
      </c>
      <c r="G8">
        <v>37</v>
      </c>
      <c r="H8">
        <v>20</v>
      </c>
      <c r="I8">
        <v>0.45900000000000002</v>
      </c>
      <c r="J8">
        <v>0.43</v>
      </c>
      <c r="L8">
        <f t="shared" si="3"/>
        <v>1.6163444753345833</v>
      </c>
      <c r="M8">
        <f t="shared" si="4"/>
        <v>1.6567263088137838</v>
      </c>
      <c r="O8">
        <f t="shared" si="6"/>
        <v>1.2339476856239311E-2</v>
      </c>
      <c r="P8">
        <f t="shared" si="1"/>
        <v>0.44450000000000001</v>
      </c>
      <c r="Q8">
        <f t="shared" si="2"/>
        <v>1.6362862846483621</v>
      </c>
      <c r="R8" s="7" t="s">
        <v>7</v>
      </c>
      <c r="S8" s="7" t="s">
        <v>7</v>
      </c>
      <c r="T8">
        <v>30.1</v>
      </c>
      <c r="U8">
        <v>28.2</v>
      </c>
      <c r="V8">
        <v>28.2</v>
      </c>
    </row>
    <row r="9" spans="1:22" x14ac:dyDescent="0.35">
      <c r="A9" s="1">
        <v>9</v>
      </c>
      <c r="B9">
        <v>75</v>
      </c>
      <c r="C9" s="1" t="s">
        <v>3</v>
      </c>
      <c r="D9" s="7" t="s">
        <v>6</v>
      </c>
      <c r="E9" s="7">
        <v>29</v>
      </c>
      <c r="F9">
        <v>14</v>
      </c>
      <c r="G9">
        <v>52</v>
      </c>
      <c r="H9">
        <v>13</v>
      </c>
      <c r="I9">
        <v>0.45200000000000001</v>
      </c>
      <c r="L9">
        <f t="shared" si="3"/>
        <v>1.6259105098855358</v>
      </c>
      <c r="P9">
        <f t="shared" si="1"/>
        <v>0.45200000000000001</v>
      </c>
      <c r="Q9">
        <f t="shared" si="2"/>
        <v>1.6259105098855358</v>
      </c>
      <c r="R9" s="7" t="s">
        <v>6</v>
      </c>
      <c r="S9" s="7" t="s">
        <v>7</v>
      </c>
      <c r="T9">
        <v>27.1</v>
      </c>
      <c r="U9">
        <v>27.1</v>
      </c>
      <c r="V9">
        <v>27.1</v>
      </c>
    </row>
    <row r="10" spans="1:22" x14ac:dyDescent="0.35">
      <c r="A10" s="1">
        <v>10</v>
      </c>
      <c r="B10">
        <v>71</v>
      </c>
      <c r="C10" s="1" t="s">
        <v>2</v>
      </c>
      <c r="D10" s="7" t="s">
        <v>6</v>
      </c>
      <c r="E10" s="7">
        <v>30</v>
      </c>
      <c r="F10">
        <v>20</v>
      </c>
      <c r="G10">
        <v>50</v>
      </c>
      <c r="H10">
        <v>11</v>
      </c>
      <c r="I10">
        <v>0.41599999999999998</v>
      </c>
      <c r="L10">
        <f t="shared" si="3"/>
        <v>1.6769519720955193</v>
      </c>
      <c r="P10">
        <f t="shared" si="1"/>
        <v>0.41599999999999998</v>
      </c>
      <c r="Q10">
        <f t="shared" si="2"/>
        <v>1.6769519720955193</v>
      </c>
      <c r="R10" s="7" t="s">
        <v>6</v>
      </c>
      <c r="S10" s="7" t="s">
        <v>7</v>
      </c>
      <c r="T10">
        <v>18.600000000000001</v>
      </c>
      <c r="U10">
        <v>17.600000000000001</v>
      </c>
      <c r="V10">
        <v>17.600000000000001</v>
      </c>
    </row>
    <row r="11" spans="1:22" x14ac:dyDescent="0.35">
      <c r="A11" s="1">
        <v>11</v>
      </c>
      <c r="B11">
        <v>73</v>
      </c>
      <c r="C11" s="1" t="s">
        <v>2</v>
      </c>
      <c r="D11" s="7" t="s">
        <v>6</v>
      </c>
      <c r="E11" s="7">
        <v>29</v>
      </c>
      <c r="F11">
        <v>14</v>
      </c>
      <c r="G11">
        <v>45</v>
      </c>
      <c r="H11">
        <v>21</v>
      </c>
      <c r="I11">
        <v>0.38600000000000001</v>
      </c>
      <c r="L11">
        <f t="shared" si="3"/>
        <v>1.7220002755200441</v>
      </c>
      <c r="P11">
        <f t="shared" si="1"/>
        <v>0.38600000000000001</v>
      </c>
      <c r="Q11">
        <f t="shared" si="2"/>
        <v>1.7220002755200441</v>
      </c>
      <c r="R11" s="7" t="s">
        <v>6</v>
      </c>
      <c r="S11" s="7" t="s">
        <v>6</v>
      </c>
      <c r="T11">
        <v>13</v>
      </c>
      <c r="U11">
        <v>13.2</v>
      </c>
      <c r="V11">
        <v>13.2</v>
      </c>
    </row>
    <row r="12" spans="1:22" x14ac:dyDescent="0.35">
      <c r="A12" s="1">
        <v>12</v>
      </c>
      <c r="B12">
        <v>68</v>
      </c>
      <c r="C12" s="1" t="s">
        <v>3</v>
      </c>
      <c r="D12" s="7" t="s">
        <v>6</v>
      </c>
      <c r="E12" s="7">
        <v>28</v>
      </c>
      <c r="F12">
        <v>16</v>
      </c>
      <c r="G12">
        <v>45</v>
      </c>
      <c r="H12">
        <v>16</v>
      </c>
      <c r="I12">
        <v>0.40500000000000003</v>
      </c>
      <c r="L12">
        <f t="shared" si="3"/>
        <v>1.6931933626820181</v>
      </c>
      <c r="P12">
        <f t="shared" si="1"/>
        <v>0.40500000000000003</v>
      </c>
      <c r="Q12">
        <f t="shared" si="2"/>
        <v>1.6931933626820181</v>
      </c>
      <c r="R12" s="7" t="s">
        <v>6</v>
      </c>
      <c r="S12" s="7" t="s">
        <v>7</v>
      </c>
      <c r="T12">
        <v>17</v>
      </c>
      <c r="U12">
        <v>17.3</v>
      </c>
      <c r="V12">
        <v>17.3</v>
      </c>
    </row>
    <row r="13" spans="1:22" x14ac:dyDescent="0.35">
      <c r="A13" s="1">
        <v>14</v>
      </c>
      <c r="B13">
        <v>80</v>
      </c>
      <c r="C13" s="1" t="s">
        <v>3</v>
      </c>
      <c r="D13" s="7" t="s">
        <v>7</v>
      </c>
      <c r="E13" s="7">
        <v>23</v>
      </c>
      <c r="F13">
        <v>17</v>
      </c>
      <c r="G13">
        <v>48</v>
      </c>
      <c r="H13">
        <v>15</v>
      </c>
      <c r="I13">
        <v>0.497</v>
      </c>
      <c r="J13">
        <v>0.45900000000000002</v>
      </c>
      <c r="L13">
        <f t="shared" si="3"/>
        <v>1.5663178998809599</v>
      </c>
      <c r="M13">
        <f t="shared" si="4"/>
        <v>1.6163444753345833</v>
      </c>
      <c r="O13">
        <f t="shared" si="6"/>
        <v>1.5722352133564738E-2</v>
      </c>
      <c r="P13">
        <f t="shared" si="1"/>
        <v>0.47799999999999998</v>
      </c>
      <c r="Q13">
        <f t="shared" si="2"/>
        <v>1.5909380170548555</v>
      </c>
      <c r="R13" s="7" t="s">
        <v>6</v>
      </c>
      <c r="S13" s="7" t="s">
        <v>7</v>
      </c>
      <c r="T13">
        <v>43.4</v>
      </c>
      <c r="U13">
        <v>45.4</v>
      </c>
      <c r="V13">
        <v>45.4</v>
      </c>
    </row>
    <row r="14" spans="1:22" x14ac:dyDescent="0.35">
      <c r="A14" s="1">
        <v>15</v>
      </c>
      <c r="B14">
        <v>70</v>
      </c>
      <c r="C14" s="1" t="s">
        <v>2</v>
      </c>
      <c r="D14" s="7" t="s">
        <v>7</v>
      </c>
      <c r="E14" s="7">
        <v>19</v>
      </c>
      <c r="F14">
        <v>15</v>
      </c>
      <c r="G14">
        <v>26</v>
      </c>
      <c r="H14">
        <v>12</v>
      </c>
      <c r="I14">
        <v>0.379</v>
      </c>
      <c r="J14">
        <v>0.40600000000000003</v>
      </c>
      <c r="L14">
        <f t="shared" si="3"/>
        <v>1.7328619948707285</v>
      </c>
      <c r="M14">
        <f t="shared" si="4"/>
        <v>1.6917038841521177</v>
      </c>
      <c r="O14">
        <f t="shared" si="6"/>
        <v>1.2020226235370272E-2</v>
      </c>
      <c r="P14">
        <f t="shared" si="1"/>
        <v>0.39250000000000002</v>
      </c>
      <c r="Q14">
        <f t="shared" si="2"/>
        <v>1.7120356103406948</v>
      </c>
      <c r="R14" s="7" t="s">
        <v>16</v>
      </c>
      <c r="S14" s="7" t="s">
        <v>6</v>
      </c>
      <c r="T14">
        <v>9.6</v>
      </c>
      <c r="U14">
        <v>10</v>
      </c>
      <c r="V14">
        <v>10</v>
      </c>
    </row>
    <row r="15" spans="1:22" x14ac:dyDescent="0.35">
      <c r="A15" s="1">
        <v>17</v>
      </c>
      <c r="B15">
        <v>79</v>
      </c>
      <c r="C15" s="1" t="s">
        <v>3</v>
      </c>
      <c r="D15" s="7" t="s">
        <v>7</v>
      </c>
      <c r="E15" s="7">
        <v>19</v>
      </c>
      <c r="F15">
        <v>10</v>
      </c>
      <c r="G15">
        <v>27</v>
      </c>
      <c r="H15">
        <v>11</v>
      </c>
      <c r="I15">
        <v>0.49099999999999999</v>
      </c>
      <c r="J15">
        <v>0.46200000000000002</v>
      </c>
      <c r="L15">
        <f t="shared" si="3"/>
        <v>1.5740099477428697</v>
      </c>
      <c r="M15">
        <f t="shared" si="4"/>
        <v>1.6122791177608666</v>
      </c>
      <c r="P15">
        <f t="shared" si="1"/>
        <v>0.47650000000000003</v>
      </c>
      <c r="Q15">
        <f t="shared" si="2"/>
        <v>1.5929147153461403</v>
      </c>
      <c r="R15" s="7" t="s">
        <v>6</v>
      </c>
      <c r="S15" s="7" t="s">
        <v>7</v>
      </c>
      <c r="T15">
        <v>30.7</v>
      </c>
      <c r="U15">
        <v>31.9</v>
      </c>
      <c r="V15">
        <v>31.9</v>
      </c>
    </row>
    <row r="16" spans="1:22" x14ac:dyDescent="0.35">
      <c r="A16" s="1">
        <v>18</v>
      </c>
      <c r="B16">
        <v>64</v>
      </c>
      <c r="C16" s="1" t="s">
        <v>2</v>
      </c>
      <c r="D16" s="7" t="s">
        <v>6</v>
      </c>
      <c r="E16" s="7">
        <v>30</v>
      </c>
      <c r="F16">
        <v>21</v>
      </c>
      <c r="G16">
        <v>60</v>
      </c>
      <c r="H16">
        <v>20</v>
      </c>
      <c r="I16">
        <v>0.433</v>
      </c>
      <c r="L16">
        <f t="shared" si="3"/>
        <v>1.6524555489457333</v>
      </c>
      <c r="P16">
        <f t="shared" si="1"/>
        <v>0.433</v>
      </c>
      <c r="Q16">
        <f t="shared" si="2"/>
        <v>1.6524555489457333</v>
      </c>
      <c r="R16" s="7" t="s">
        <v>6</v>
      </c>
      <c r="S16" s="7" t="s">
        <v>6</v>
      </c>
      <c r="T16">
        <v>10.5</v>
      </c>
      <c r="U16">
        <v>9.1999999999999993</v>
      </c>
      <c r="V16">
        <v>9.1999999999999993</v>
      </c>
    </row>
    <row r="17" spans="1:22" x14ac:dyDescent="0.35">
      <c r="A17" s="1">
        <v>19</v>
      </c>
      <c r="B17">
        <v>69</v>
      </c>
      <c r="C17" s="1" t="s">
        <v>2</v>
      </c>
      <c r="D17" s="7" t="s">
        <v>6</v>
      </c>
      <c r="E17" s="7">
        <v>29</v>
      </c>
      <c r="F17">
        <v>17</v>
      </c>
      <c r="G17">
        <v>53</v>
      </c>
      <c r="H17">
        <v>13</v>
      </c>
      <c r="I17">
        <v>0.373</v>
      </c>
      <c r="L17">
        <f t="shared" si="3"/>
        <v>1.7422816921039792</v>
      </c>
      <c r="P17">
        <f t="shared" si="1"/>
        <v>0.373</v>
      </c>
      <c r="Q17">
        <f t="shared" si="2"/>
        <v>1.7422816921039792</v>
      </c>
      <c r="R17" s="7" t="s">
        <v>7</v>
      </c>
      <c r="S17" s="7" t="s">
        <v>6</v>
      </c>
      <c r="T17">
        <v>11.6</v>
      </c>
      <c r="U17">
        <v>11.9</v>
      </c>
      <c r="V17">
        <v>11.9</v>
      </c>
    </row>
    <row r="18" spans="1:22" x14ac:dyDescent="0.35">
      <c r="A18" s="1">
        <v>21</v>
      </c>
      <c r="B18">
        <v>65</v>
      </c>
      <c r="C18" s="1" t="s">
        <v>3</v>
      </c>
      <c r="D18" s="7" t="s">
        <v>6</v>
      </c>
      <c r="E18" s="7">
        <v>29</v>
      </c>
      <c r="F18">
        <v>10</v>
      </c>
      <c r="G18">
        <v>53</v>
      </c>
      <c r="H18">
        <v>22</v>
      </c>
      <c r="I18">
        <v>0.39100000000000001</v>
      </c>
      <c r="L18">
        <f t="shared" si="3"/>
        <v>1.7143248988548307</v>
      </c>
      <c r="P18">
        <f t="shared" si="1"/>
        <v>0.39100000000000001</v>
      </c>
      <c r="Q18">
        <f t="shared" si="2"/>
        <v>1.7143248988548307</v>
      </c>
      <c r="R18" s="7" t="s">
        <v>6</v>
      </c>
      <c r="S18" s="7" t="s">
        <v>7</v>
      </c>
      <c r="T18">
        <v>17.600000000000001</v>
      </c>
      <c r="U18">
        <v>17.899999999999999</v>
      </c>
      <c r="V18">
        <v>17.899999999999999</v>
      </c>
    </row>
    <row r="19" spans="1:22" x14ac:dyDescent="0.35">
      <c r="A19" s="1">
        <v>23</v>
      </c>
      <c r="B19">
        <v>60</v>
      </c>
      <c r="C19" s="1" t="s">
        <v>2</v>
      </c>
      <c r="D19" s="7" t="s">
        <v>6</v>
      </c>
      <c r="E19" s="7">
        <v>30</v>
      </c>
      <c r="F19">
        <v>14</v>
      </c>
      <c r="G19">
        <v>61</v>
      </c>
      <c r="H19">
        <v>17</v>
      </c>
      <c r="I19">
        <v>0.38900000000000001</v>
      </c>
      <c r="L19">
        <f t="shared" si="3"/>
        <v>1.7173868242082846</v>
      </c>
      <c r="P19">
        <f t="shared" si="1"/>
        <v>0.38900000000000001</v>
      </c>
      <c r="Q19">
        <f t="shared" si="2"/>
        <v>1.7173868242082846</v>
      </c>
      <c r="R19" s="7" t="s">
        <v>6</v>
      </c>
      <c r="S19" s="7" t="s">
        <v>6</v>
      </c>
      <c r="T19">
        <v>4.9000000000000004</v>
      </c>
      <c r="U19">
        <v>5.0999999999999996</v>
      </c>
      <c r="V19">
        <v>5.0999999999999996</v>
      </c>
    </row>
    <row r="20" spans="1:22" x14ac:dyDescent="0.35">
      <c r="A20" s="5">
        <v>24</v>
      </c>
      <c r="B20" s="4">
        <v>67</v>
      </c>
      <c r="C20" s="5" t="s">
        <v>2</v>
      </c>
      <c r="D20" s="9" t="s">
        <v>7</v>
      </c>
      <c r="E20" s="9">
        <v>24</v>
      </c>
      <c r="F20" s="4">
        <v>11</v>
      </c>
      <c r="G20" s="4">
        <v>46</v>
      </c>
      <c r="H20" s="4">
        <v>30</v>
      </c>
      <c r="I20" s="4">
        <v>0.39800000000000002</v>
      </c>
      <c r="J20" s="4">
        <v>0.41599999999999998</v>
      </c>
      <c r="K20" s="4"/>
      <c r="L20">
        <f t="shared" si="3"/>
        <v>1.7036936077415836</v>
      </c>
      <c r="M20">
        <f t="shared" si="4"/>
        <v>1.6769519720955193</v>
      </c>
      <c r="P20">
        <f t="shared" si="1"/>
        <v>0.40700000000000003</v>
      </c>
      <c r="Q20">
        <f t="shared" si="2"/>
        <v>1.6902170238658643</v>
      </c>
      <c r="R20" s="9" t="s">
        <v>7</v>
      </c>
      <c r="S20" s="9" t="s">
        <v>7</v>
      </c>
      <c r="T20" s="4">
        <v>15.4</v>
      </c>
      <c r="U20" s="4">
        <v>19.5</v>
      </c>
      <c r="V20" s="4">
        <v>19.5</v>
      </c>
    </row>
    <row r="21" spans="1:22" x14ac:dyDescent="0.35">
      <c r="A21" s="1">
        <v>26</v>
      </c>
      <c r="B21">
        <v>66</v>
      </c>
      <c r="C21" s="1" t="s">
        <v>2</v>
      </c>
      <c r="D21" s="7" t="s">
        <v>6</v>
      </c>
      <c r="E21" s="7">
        <v>28</v>
      </c>
      <c r="F21">
        <v>17</v>
      </c>
      <c r="G21">
        <v>63</v>
      </c>
      <c r="H21">
        <v>20</v>
      </c>
      <c r="I21">
        <v>0.35399999999999998</v>
      </c>
      <c r="L21">
        <f t="shared" si="3"/>
        <v>1.7727981846546588</v>
      </c>
      <c r="P21">
        <f t="shared" si="1"/>
        <v>0.35399999999999998</v>
      </c>
      <c r="Q21">
        <f t="shared" si="2"/>
        <v>1.7727981846546588</v>
      </c>
      <c r="R21" s="7" t="s">
        <v>6</v>
      </c>
      <c r="S21" s="7" t="s">
        <v>6</v>
      </c>
      <c r="T21">
        <v>10.9</v>
      </c>
      <c r="U21">
        <v>10.6</v>
      </c>
      <c r="V21">
        <v>10.6</v>
      </c>
    </row>
    <row r="22" spans="1:22" x14ac:dyDescent="0.35">
      <c r="A22" s="1">
        <v>27</v>
      </c>
      <c r="B22">
        <v>66</v>
      </c>
      <c r="C22" s="1" t="s">
        <v>2</v>
      </c>
      <c r="D22" s="7" t="s">
        <v>6</v>
      </c>
      <c r="E22" s="7">
        <v>29</v>
      </c>
      <c r="F22">
        <v>20</v>
      </c>
      <c r="G22">
        <v>46</v>
      </c>
      <c r="H22">
        <v>17</v>
      </c>
      <c r="I22">
        <v>0.41399999999999998</v>
      </c>
      <c r="L22">
        <f t="shared" si="3"/>
        <v>1.6798817363257625</v>
      </c>
      <c r="P22">
        <f t="shared" si="1"/>
        <v>0.41399999999999998</v>
      </c>
      <c r="Q22">
        <f t="shared" si="2"/>
        <v>1.6798817363257625</v>
      </c>
      <c r="R22" s="7" t="s">
        <v>7</v>
      </c>
      <c r="S22" s="7" t="s">
        <v>6</v>
      </c>
      <c r="T22">
        <v>11</v>
      </c>
      <c r="U22">
        <v>11.1</v>
      </c>
      <c r="V22">
        <v>11.1</v>
      </c>
    </row>
    <row r="23" spans="1:22" x14ac:dyDescent="0.35">
      <c r="A23" s="1">
        <v>28</v>
      </c>
      <c r="B23">
        <v>62</v>
      </c>
      <c r="C23" s="1" t="s">
        <v>2</v>
      </c>
      <c r="D23" s="7" t="s">
        <v>6</v>
      </c>
      <c r="E23" s="7">
        <v>28</v>
      </c>
      <c r="F23">
        <v>12</v>
      </c>
      <c r="G23">
        <v>37</v>
      </c>
      <c r="H23">
        <v>19</v>
      </c>
      <c r="I23">
        <v>0.377</v>
      </c>
      <c r="L23">
        <f t="shared" si="3"/>
        <v>1.7359905562113742</v>
      </c>
      <c r="P23">
        <f t="shared" si="1"/>
        <v>0.377</v>
      </c>
      <c r="Q23">
        <f t="shared" si="2"/>
        <v>1.7359905562113742</v>
      </c>
      <c r="R23" s="7" t="s">
        <v>6</v>
      </c>
      <c r="S23" s="7" t="s">
        <v>6</v>
      </c>
      <c r="T23">
        <v>8.4</v>
      </c>
      <c r="U23">
        <v>7.2</v>
      </c>
      <c r="V23">
        <v>7.2</v>
      </c>
    </row>
    <row r="24" spans="1:22" x14ac:dyDescent="0.35">
      <c r="A24" s="1">
        <v>29</v>
      </c>
      <c r="B24">
        <v>73</v>
      </c>
      <c r="C24" s="1" t="s">
        <v>2</v>
      </c>
      <c r="D24" s="7" t="s">
        <v>6</v>
      </c>
      <c r="E24" s="7">
        <v>28</v>
      </c>
      <c r="F24">
        <v>16</v>
      </c>
      <c r="G24">
        <v>56</v>
      </c>
      <c r="H24">
        <v>17</v>
      </c>
      <c r="I24">
        <v>0.36499999999999999</v>
      </c>
      <c r="L24">
        <f t="shared" si="3"/>
        <v>1.7550017550017551</v>
      </c>
      <c r="P24">
        <f t="shared" si="1"/>
        <v>0.36499999999999999</v>
      </c>
      <c r="Q24">
        <f t="shared" si="2"/>
        <v>1.7550017550017551</v>
      </c>
      <c r="R24" s="7" t="s">
        <v>6</v>
      </c>
      <c r="S24" s="7" t="s">
        <v>7</v>
      </c>
      <c r="T24">
        <v>27.1</v>
      </c>
      <c r="U24">
        <v>28.7</v>
      </c>
      <c r="V24">
        <v>28.7</v>
      </c>
    </row>
    <row r="25" spans="1:22" x14ac:dyDescent="0.35">
      <c r="A25" s="1">
        <v>33</v>
      </c>
      <c r="B25">
        <v>72</v>
      </c>
      <c r="C25" s="1" t="s">
        <v>3</v>
      </c>
      <c r="D25" s="7" t="s">
        <v>6</v>
      </c>
      <c r="E25" s="7">
        <v>29</v>
      </c>
      <c r="F25">
        <v>13</v>
      </c>
      <c r="G25">
        <v>42</v>
      </c>
      <c r="H25">
        <v>11</v>
      </c>
      <c r="I25">
        <v>0.36899999999999999</v>
      </c>
      <c r="L25">
        <f t="shared" si="3"/>
        <v>1.7486185913128629</v>
      </c>
      <c r="P25">
        <f t="shared" ref="P25:P40" si="7">AVERAGE(I25:K25)</f>
        <v>0.36899999999999999</v>
      </c>
      <c r="Q25">
        <f t="shared" ref="Q25:Q40" si="8">1/(P25*0.52+0.38)</f>
        <v>1.7486185913128629</v>
      </c>
      <c r="R25" s="7" t="s">
        <v>6</v>
      </c>
      <c r="S25" s="7" t="s">
        <v>7</v>
      </c>
      <c r="T25">
        <v>23.7</v>
      </c>
      <c r="U25">
        <v>22.7</v>
      </c>
      <c r="V25">
        <v>22.7</v>
      </c>
    </row>
    <row r="26" spans="1:22" x14ac:dyDescent="0.35">
      <c r="A26" s="5">
        <v>37</v>
      </c>
      <c r="B26" s="4">
        <v>74</v>
      </c>
      <c r="C26" s="5" t="s">
        <v>2</v>
      </c>
      <c r="D26" s="9" t="s">
        <v>7</v>
      </c>
      <c r="E26" s="9">
        <v>28</v>
      </c>
      <c r="F26" s="4">
        <v>14</v>
      </c>
      <c r="G26" s="4">
        <v>52</v>
      </c>
      <c r="H26" s="4">
        <v>11</v>
      </c>
      <c r="I26" s="4">
        <v>0.38</v>
      </c>
      <c r="J26" s="4">
        <v>0.36599999999999999</v>
      </c>
      <c r="K26" s="4"/>
      <c r="L26">
        <f t="shared" si="3"/>
        <v>1.7313019390581716</v>
      </c>
      <c r="M26">
        <f t="shared" si="4"/>
        <v>1.7534015991022587</v>
      </c>
      <c r="P26">
        <f t="shared" si="7"/>
        <v>0.373</v>
      </c>
      <c r="Q26">
        <f t="shared" si="8"/>
        <v>1.7422816921039792</v>
      </c>
      <c r="R26" s="9" t="s">
        <v>6</v>
      </c>
      <c r="S26" s="9" t="s">
        <v>7</v>
      </c>
      <c r="T26" s="4">
        <v>18.600000000000001</v>
      </c>
      <c r="U26" s="4">
        <v>17.8</v>
      </c>
      <c r="V26" s="4">
        <v>17.8</v>
      </c>
    </row>
    <row r="27" spans="1:22" x14ac:dyDescent="0.35">
      <c r="A27" s="1">
        <v>38</v>
      </c>
      <c r="B27">
        <v>66</v>
      </c>
      <c r="C27" s="1" t="s">
        <v>3</v>
      </c>
      <c r="D27" s="7" t="s">
        <v>6</v>
      </c>
      <c r="E27" s="7">
        <v>28</v>
      </c>
      <c r="F27">
        <v>17</v>
      </c>
      <c r="G27">
        <v>40</v>
      </c>
      <c r="H27">
        <v>18</v>
      </c>
      <c r="I27">
        <v>0.40200000000000002</v>
      </c>
      <c r="L27">
        <f t="shared" si="3"/>
        <v>1.697677577074562</v>
      </c>
      <c r="P27">
        <f t="shared" si="7"/>
        <v>0.40200000000000002</v>
      </c>
      <c r="Q27">
        <f t="shared" si="8"/>
        <v>1.697677577074562</v>
      </c>
      <c r="R27" s="7" t="s">
        <v>6</v>
      </c>
      <c r="S27" s="7" t="s">
        <v>6</v>
      </c>
      <c r="T27">
        <v>15.7</v>
      </c>
      <c r="U27">
        <v>16.5</v>
      </c>
      <c r="V27">
        <v>16.5</v>
      </c>
    </row>
    <row r="28" spans="1:22" x14ac:dyDescent="0.35">
      <c r="A28" s="5">
        <v>39</v>
      </c>
      <c r="B28" s="4">
        <v>66</v>
      </c>
      <c r="C28" s="5" t="s">
        <v>2</v>
      </c>
      <c r="D28" s="9" t="s">
        <v>7</v>
      </c>
      <c r="E28" s="9">
        <v>28</v>
      </c>
      <c r="F28" s="4">
        <v>11</v>
      </c>
      <c r="G28" s="4">
        <v>36</v>
      </c>
      <c r="H28" s="4">
        <v>14</v>
      </c>
      <c r="I28" s="4">
        <v>0.40799999999999997</v>
      </c>
      <c r="J28" s="4">
        <v>0.38700000000000001</v>
      </c>
      <c r="K28" s="4"/>
      <c r="L28">
        <f t="shared" si="3"/>
        <v>1.6887327749256957</v>
      </c>
      <c r="M28">
        <f t="shared" si="4"/>
        <v>1.720459706833666</v>
      </c>
      <c r="P28">
        <f t="shared" si="7"/>
        <v>0.39749999999999996</v>
      </c>
      <c r="Q28">
        <f t="shared" si="8"/>
        <v>1.7044486108743822</v>
      </c>
      <c r="R28" s="9" t="s">
        <v>6</v>
      </c>
      <c r="S28" s="9" t="s">
        <v>6</v>
      </c>
      <c r="T28" s="4">
        <v>6.8</v>
      </c>
      <c r="U28" s="4">
        <v>7.1</v>
      </c>
      <c r="V28" s="4">
        <v>7.1</v>
      </c>
    </row>
    <row r="29" spans="1:22" x14ac:dyDescent="0.35">
      <c r="A29" s="1">
        <v>40</v>
      </c>
      <c r="B29">
        <v>60</v>
      </c>
      <c r="C29" s="1" t="s">
        <v>2</v>
      </c>
      <c r="D29" s="7" t="s">
        <v>7</v>
      </c>
      <c r="E29" s="7">
        <v>22</v>
      </c>
      <c r="F29">
        <v>15</v>
      </c>
      <c r="G29">
        <v>48</v>
      </c>
      <c r="H29">
        <v>13</v>
      </c>
      <c r="P29" t="e">
        <f t="shared" si="7"/>
        <v>#DIV/0!</v>
      </c>
      <c r="Q29" t="e">
        <f t="shared" si="8"/>
        <v>#DIV/0!</v>
      </c>
      <c r="R29" s="7" t="s">
        <v>6</v>
      </c>
      <c r="S29" s="7"/>
      <c r="T29">
        <v>8.4</v>
      </c>
      <c r="V29">
        <v>8.4</v>
      </c>
    </row>
    <row r="30" spans="1:22" x14ac:dyDescent="0.35">
      <c r="A30" s="1">
        <v>41</v>
      </c>
      <c r="B30">
        <v>76</v>
      </c>
      <c r="C30" t="s">
        <v>3</v>
      </c>
      <c r="D30" s="7" t="s">
        <v>7</v>
      </c>
      <c r="E30" s="7">
        <v>24</v>
      </c>
      <c r="F30">
        <v>9</v>
      </c>
      <c r="G30">
        <v>33</v>
      </c>
      <c r="H30">
        <v>11</v>
      </c>
      <c r="I30">
        <v>0.41399999999999998</v>
      </c>
      <c r="L30">
        <f t="shared" si="3"/>
        <v>1.6798817363257625</v>
      </c>
      <c r="P30">
        <f t="shared" si="7"/>
        <v>0.41399999999999998</v>
      </c>
      <c r="Q30">
        <f t="shared" si="8"/>
        <v>1.6798817363257625</v>
      </c>
      <c r="R30" s="7" t="s">
        <v>7</v>
      </c>
      <c r="S30" s="7" t="s">
        <v>7</v>
      </c>
      <c r="T30">
        <v>27.9</v>
      </c>
      <c r="U30">
        <v>28.5</v>
      </c>
      <c r="V30">
        <v>28.5</v>
      </c>
    </row>
    <row r="31" spans="1:22" x14ac:dyDescent="0.35">
      <c r="A31" s="1">
        <v>45</v>
      </c>
      <c r="B31">
        <v>67</v>
      </c>
      <c r="C31" t="s">
        <v>2</v>
      </c>
      <c r="D31" s="7" t="s">
        <v>6</v>
      </c>
      <c r="E31" s="7">
        <v>27</v>
      </c>
      <c r="F31">
        <v>11</v>
      </c>
      <c r="G31">
        <v>45</v>
      </c>
      <c r="H31" s="11" t="s">
        <v>21</v>
      </c>
      <c r="I31">
        <v>0.39100000000000001</v>
      </c>
      <c r="L31">
        <f t="shared" si="3"/>
        <v>1.7143248988548307</v>
      </c>
      <c r="P31">
        <f t="shared" si="7"/>
        <v>0.39100000000000001</v>
      </c>
      <c r="Q31">
        <f t="shared" si="8"/>
        <v>1.7143248988548307</v>
      </c>
      <c r="R31" s="7" t="s">
        <v>6</v>
      </c>
      <c r="S31" s="7" t="s">
        <v>6</v>
      </c>
      <c r="T31">
        <v>5.9</v>
      </c>
      <c r="U31">
        <v>5.6</v>
      </c>
      <c r="V31">
        <v>5.6</v>
      </c>
    </row>
    <row r="32" spans="1:22" x14ac:dyDescent="0.35">
      <c r="A32" s="1">
        <v>46</v>
      </c>
      <c r="B32">
        <v>69</v>
      </c>
      <c r="C32" t="s">
        <v>3</v>
      </c>
      <c r="D32" s="7" t="s">
        <v>6</v>
      </c>
      <c r="E32" s="7">
        <v>28</v>
      </c>
      <c r="F32">
        <v>15</v>
      </c>
      <c r="G32">
        <v>45</v>
      </c>
      <c r="H32">
        <v>16</v>
      </c>
      <c r="I32">
        <v>0.28599999999999998</v>
      </c>
      <c r="L32">
        <f t="shared" si="3"/>
        <v>1.8913602663035256</v>
      </c>
      <c r="P32">
        <f t="shared" si="7"/>
        <v>0.28599999999999998</v>
      </c>
      <c r="Q32">
        <f t="shared" si="8"/>
        <v>1.8913602663035256</v>
      </c>
      <c r="R32" s="7" t="s">
        <v>6</v>
      </c>
      <c r="S32" s="7" t="s">
        <v>7</v>
      </c>
      <c r="T32">
        <v>27</v>
      </c>
      <c r="U32">
        <v>27.6</v>
      </c>
      <c r="V32">
        <v>27.6</v>
      </c>
    </row>
    <row r="33" spans="1:22" x14ac:dyDescent="0.35">
      <c r="A33" s="1">
        <v>47</v>
      </c>
      <c r="B33">
        <v>69</v>
      </c>
      <c r="C33" t="s">
        <v>2</v>
      </c>
      <c r="D33" s="7" t="s">
        <v>7</v>
      </c>
      <c r="E33" s="7">
        <v>25</v>
      </c>
      <c r="F33">
        <v>15</v>
      </c>
      <c r="G33">
        <v>59</v>
      </c>
      <c r="H33">
        <v>16</v>
      </c>
      <c r="I33" s="6">
        <v>0.34</v>
      </c>
      <c r="L33">
        <f t="shared" si="3"/>
        <v>1.795977011494253</v>
      </c>
      <c r="P33">
        <f t="shared" si="7"/>
        <v>0.34</v>
      </c>
      <c r="Q33">
        <f t="shared" si="8"/>
        <v>1.795977011494253</v>
      </c>
      <c r="R33" s="7" t="s">
        <v>6</v>
      </c>
      <c r="S33" s="7" t="s">
        <v>6</v>
      </c>
      <c r="T33">
        <v>10.09</v>
      </c>
      <c r="U33">
        <v>11</v>
      </c>
      <c r="V33">
        <v>11</v>
      </c>
    </row>
    <row r="34" spans="1:22" x14ac:dyDescent="0.35">
      <c r="A34" s="1">
        <v>48</v>
      </c>
      <c r="B34">
        <v>71</v>
      </c>
      <c r="C34" t="s">
        <v>2</v>
      </c>
      <c r="D34" s="7" t="s">
        <v>6</v>
      </c>
      <c r="E34" s="7">
        <v>26</v>
      </c>
      <c r="F34">
        <v>14</v>
      </c>
      <c r="G34">
        <v>53</v>
      </c>
      <c r="H34">
        <v>15</v>
      </c>
      <c r="I34" t="s">
        <v>8</v>
      </c>
      <c r="P34" t="e">
        <f t="shared" si="7"/>
        <v>#DIV/0!</v>
      </c>
      <c r="Q34" t="e">
        <f t="shared" si="8"/>
        <v>#DIV/0!</v>
      </c>
      <c r="R34" s="7" t="s">
        <v>6</v>
      </c>
      <c r="S34" s="7" t="s">
        <v>7</v>
      </c>
      <c r="T34">
        <v>19.5</v>
      </c>
      <c r="U34">
        <v>20.100000000000001</v>
      </c>
      <c r="V34">
        <v>20.100000000000001</v>
      </c>
    </row>
    <row r="35" spans="1:22" x14ac:dyDescent="0.35">
      <c r="A35" s="1">
        <v>49</v>
      </c>
      <c r="B35">
        <v>69</v>
      </c>
      <c r="C35" t="s">
        <v>2</v>
      </c>
      <c r="D35" s="7" t="s">
        <v>6</v>
      </c>
      <c r="E35" s="7">
        <v>28</v>
      </c>
      <c r="F35">
        <v>25</v>
      </c>
      <c r="G35">
        <v>54</v>
      </c>
      <c r="H35">
        <v>18</v>
      </c>
      <c r="I35" t="s">
        <v>8</v>
      </c>
      <c r="P35" t="e">
        <f t="shared" si="7"/>
        <v>#DIV/0!</v>
      </c>
      <c r="Q35" t="e">
        <f t="shared" si="8"/>
        <v>#DIV/0!</v>
      </c>
      <c r="R35" s="7" t="s">
        <v>6</v>
      </c>
      <c r="S35" s="7" t="s">
        <v>6</v>
      </c>
      <c r="T35">
        <v>9.6999999999999993</v>
      </c>
      <c r="U35">
        <v>9.1</v>
      </c>
      <c r="V35">
        <v>9.1</v>
      </c>
    </row>
    <row r="36" spans="1:22" x14ac:dyDescent="0.35">
      <c r="A36" s="1">
        <v>52</v>
      </c>
      <c r="B36">
        <v>74</v>
      </c>
      <c r="C36" t="s">
        <v>3</v>
      </c>
      <c r="D36" s="7" t="s">
        <v>7</v>
      </c>
      <c r="E36" s="7">
        <v>19</v>
      </c>
      <c r="F36">
        <v>15</v>
      </c>
      <c r="G36">
        <v>30</v>
      </c>
      <c r="H36">
        <v>13</v>
      </c>
      <c r="I36">
        <v>0.378</v>
      </c>
      <c r="L36">
        <f t="shared" si="3"/>
        <v>1.7344248647148606</v>
      </c>
      <c r="P36">
        <f t="shared" si="7"/>
        <v>0.378</v>
      </c>
      <c r="Q36">
        <f t="shared" si="8"/>
        <v>1.7344248647148606</v>
      </c>
      <c r="R36" s="7" t="s">
        <v>7</v>
      </c>
      <c r="S36" s="7" t="s">
        <v>6</v>
      </c>
      <c r="T36">
        <v>17.600000000000001</v>
      </c>
      <c r="U36">
        <v>17.100000000000001</v>
      </c>
      <c r="V36">
        <v>17.100000000000001</v>
      </c>
    </row>
    <row r="37" spans="1:22" x14ac:dyDescent="0.35">
      <c r="A37" s="1">
        <v>53</v>
      </c>
      <c r="B37">
        <v>70</v>
      </c>
      <c r="C37" t="s">
        <v>3</v>
      </c>
      <c r="D37" s="7" t="s">
        <v>7</v>
      </c>
      <c r="E37" s="7">
        <v>17</v>
      </c>
      <c r="F37">
        <v>17</v>
      </c>
      <c r="G37">
        <v>36</v>
      </c>
      <c r="H37">
        <v>15</v>
      </c>
      <c r="I37">
        <v>0.40100000000000002</v>
      </c>
      <c r="L37">
        <f t="shared" si="3"/>
        <v>1.6991775980425472</v>
      </c>
      <c r="P37">
        <f t="shared" si="7"/>
        <v>0.40100000000000002</v>
      </c>
      <c r="Q37">
        <f t="shared" si="8"/>
        <v>1.6991775980425472</v>
      </c>
      <c r="R37" s="7" t="s">
        <v>16</v>
      </c>
      <c r="S37" s="7" t="s">
        <v>6</v>
      </c>
      <c r="T37">
        <v>17.8</v>
      </c>
      <c r="U37">
        <v>21.5</v>
      </c>
      <c r="V37">
        <v>21.5</v>
      </c>
    </row>
    <row r="38" spans="1:22" x14ac:dyDescent="0.35">
      <c r="A38" s="1">
        <v>54</v>
      </c>
      <c r="B38">
        <v>71</v>
      </c>
      <c r="C38" t="s">
        <v>3</v>
      </c>
      <c r="D38" s="7" t="s">
        <v>7</v>
      </c>
      <c r="E38" s="7">
        <v>24</v>
      </c>
      <c r="F38">
        <v>22</v>
      </c>
      <c r="G38">
        <v>27</v>
      </c>
      <c r="H38">
        <v>8</v>
      </c>
      <c r="I38">
        <v>0.35199999999999998</v>
      </c>
      <c r="L38">
        <f t="shared" si="3"/>
        <v>1.7760727479397556</v>
      </c>
      <c r="P38">
        <f t="shared" si="7"/>
        <v>0.35199999999999998</v>
      </c>
      <c r="Q38">
        <f t="shared" si="8"/>
        <v>1.7760727479397556</v>
      </c>
      <c r="R38" s="7" t="s">
        <v>7</v>
      </c>
      <c r="S38" s="7" t="s">
        <v>6</v>
      </c>
      <c r="T38">
        <v>15.8</v>
      </c>
      <c r="U38">
        <v>14.8</v>
      </c>
      <c r="V38">
        <v>14.8</v>
      </c>
    </row>
    <row r="39" spans="1:22" x14ac:dyDescent="0.35">
      <c r="A39" s="1">
        <v>55</v>
      </c>
      <c r="B39">
        <v>74</v>
      </c>
      <c r="C39" t="s">
        <v>3</v>
      </c>
      <c r="D39" s="7" t="s">
        <v>7</v>
      </c>
      <c r="E39" s="7">
        <v>21</v>
      </c>
      <c r="F39">
        <v>15</v>
      </c>
      <c r="G39">
        <v>39</v>
      </c>
      <c r="H39">
        <v>15</v>
      </c>
      <c r="I39">
        <v>0.39800000000000002</v>
      </c>
      <c r="L39">
        <f t="shared" si="3"/>
        <v>1.7036936077415836</v>
      </c>
      <c r="P39">
        <f t="shared" si="7"/>
        <v>0.39800000000000002</v>
      </c>
      <c r="Q39">
        <f t="shared" si="8"/>
        <v>1.7036936077415836</v>
      </c>
      <c r="R39" s="7" t="s">
        <v>16</v>
      </c>
      <c r="S39" s="7" t="s">
        <v>6</v>
      </c>
      <c r="T39">
        <v>18.2</v>
      </c>
      <c r="U39">
        <v>18.5</v>
      </c>
      <c r="V39">
        <v>18.5</v>
      </c>
    </row>
    <row r="40" spans="1:22" x14ac:dyDescent="0.35">
      <c r="A40" s="1">
        <v>56</v>
      </c>
      <c r="B40">
        <v>80</v>
      </c>
      <c r="C40" t="s">
        <v>3</v>
      </c>
      <c r="D40" s="7" t="s">
        <v>7</v>
      </c>
      <c r="E40" s="7">
        <v>24</v>
      </c>
      <c r="F40">
        <v>15</v>
      </c>
      <c r="G40">
        <v>31</v>
      </c>
      <c r="H40">
        <v>12</v>
      </c>
      <c r="I40">
        <v>0.41899999999999998</v>
      </c>
      <c r="L40">
        <f t="shared" si="3"/>
        <v>1.6725764367431593</v>
      </c>
      <c r="P40">
        <f t="shared" si="7"/>
        <v>0.41899999999999998</v>
      </c>
      <c r="Q40">
        <f t="shared" si="8"/>
        <v>1.6725764367431593</v>
      </c>
      <c r="R40" s="7" t="s">
        <v>16</v>
      </c>
      <c r="S40" s="7" t="s">
        <v>7</v>
      </c>
      <c r="T40">
        <v>39</v>
      </c>
      <c r="U40">
        <v>40.299999999999997</v>
      </c>
      <c r="V40">
        <v>40.299999999999997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CC94-F5FA-40D4-A8B4-F9B48331B6DD}">
  <dimension ref="A1:D44"/>
  <sheetViews>
    <sheetView workbookViewId="0">
      <selection activeCell="A14" sqref="A14:XFD14"/>
    </sheetView>
  </sheetViews>
  <sheetFormatPr defaultRowHeight="14.5" x14ac:dyDescent="0.35"/>
  <sheetData>
    <row r="1" spans="1:4" x14ac:dyDescent="0.35">
      <c r="A1" s="3" t="s">
        <v>0</v>
      </c>
      <c r="B1" s="10" t="s">
        <v>26</v>
      </c>
      <c r="C1" s="8" t="s">
        <v>5</v>
      </c>
      <c r="D1" s="3" t="s">
        <v>1</v>
      </c>
    </row>
    <row r="2" spans="1:4" x14ac:dyDescent="0.35">
      <c r="A2" s="1">
        <v>1</v>
      </c>
      <c r="B2">
        <v>67</v>
      </c>
      <c r="C2" s="7">
        <v>29</v>
      </c>
      <c r="D2" s="1" t="s">
        <v>2</v>
      </c>
    </row>
    <row r="3" spans="1:4" x14ac:dyDescent="0.35">
      <c r="A3" s="1">
        <v>2</v>
      </c>
      <c r="B3">
        <v>67</v>
      </c>
      <c r="C3" s="7">
        <v>23</v>
      </c>
      <c r="D3" s="1" t="s">
        <v>3</v>
      </c>
    </row>
    <row r="4" spans="1:4" x14ac:dyDescent="0.35">
      <c r="A4" s="1">
        <v>3</v>
      </c>
      <c r="B4">
        <v>72</v>
      </c>
      <c r="C4" s="7">
        <v>24</v>
      </c>
      <c r="D4" s="1" t="s">
        <v>2</v>
      </c>
    </row>
    <row r="5" spans="1:4" x14ac:dyDescent="0.35">
      <c r="A5" s="1">
        <v>4</v>
      </c>
      <c r="B5">
        <v>71</v>
      </c>
      <c r="C5" s="7">
        <v>27</v>
      </c>
      <c r="D5" s="1" t="s">
        <v>3</v>
      </c>
    </row>
    <row r="6" spans="1:4" x14ac:dyDescent="0.35">
      <c r="A6" s="1">
        <v>5</v>
      </c>
      <c r="B6">
        <v>75</v>
      </c>
      <c r="C6" s="7">
        <v>21</v>
      </c>
      <c r="D6" s="1" t="s">
        <v>2</v>
      </c>
    </row>
    <row r="7" spans="1:4" x14ac:dyDescent="0.35">
      <c r="A7" s="1">
        <v>6</v>
      </c>
      <c r="B7">
        <v>73</v>
      </c>
      <c r="C7" s="7">
        <v>17</v>
      </c>
      <c r="D7" s="1" t="s">
        <v>3</v>
      </c>
    </row>
    <row r="8" spans="1:4" x14ac:dyDescent="0.35">
      <c r="A8" s="1">
        <v>7</v>
      </c>
      <c r="B8">
        <v>75</v>
      </c>
      <c r="C8" s="7">
        <v>26</v>
      </c>
      <c r="D8" s="1" t="s">
        <v>3</v>
      </c>
    </row>
    <row r="9" spans="1:4" x14ac:dyDescent="0.35">
      <c r="A9" s="1">
        <v>9</v>
      </c>
      <c r="B9">
        <v>75</v>
      </c>
      <c r="C9" s="7">
        <v>29</v>
      </c>
      <c r="D9" s="1" t="s">
        <v>3</v>
      </c>
    </row>
    <row r="10" spans="1:4" x14ac:dyDescent="0.35">
      <c r="A10" s="1">
        <v>10</v>
      </c>
      <c r="B10">
        <v>71</v>
      </c>
      <c r="C10" s="7">
        <v>30</v>
      </c>
      <c r="D10" s="1" t="s">
        <v>2</v>
      </c>
    </row>
    <row r="11" spans="1:4" x14ac:dyDescent="0.35">
      <c r="A11" s="1">
        <v>11</v>
      </c>
      <c r="B11">
        <v>73</v>
      </c>
      <c r="C11" s="7">
        <v>29</v>
      </c>
      <c r="D11" s="1" t="s">
        <v>2</v>
      </c>
    </row>
    <row r="12" spans="1:4" x14ac:dyDescent="0.35">
      <c r="A12" s="1">
        <v>12</v>
      </c>
      <c r="B12">
        <v>68</v>
      </c>
      <c r="C12" s="7">
        <v>28</v>
      </c>
      <c r="D12" s="1" t="s">
        <v>3</v>
      </c>
    </row>
    <row r="13" spans="1:4" x14ac:dyDescent="0.35">
      <c r="A13" s="1">
        <v>14</v>
      </c>
      <c r="B13">
        <v>80</v>
      </c>
      <c r="C13" s="7">
        <v>23</v>
      </c>
      <c r="D13" s="1" t="s">
        <v>3</v>
      </c>
    </row>
    <row r="14" spans="1:4" x14ac:dyDescent="0.35">
      <c r="A14" s="1">
        <v>15</v>
      </c>
      <c r="B14">
        <v>70</v>
      </c>
      <c r="C14" s="7">
        <v>19</v>
      </c>
      <c r="D14" s="1" t="s">
        <v>2</v>
      </c>
    </row>
    <row r="15" spans="1:4" x14ac:dyDescent="0.35">
      <c r="A15" s="1">
        <v>17</v>
      </c>
      <c r="B15">
        <v>79</v>
      </c>
      <c r="C15" s="7">
        <v>19</v>
      </c>
      <c r="D15" s="1" t="s">
        <v>3</v>
      </c>
    </row>
    <row r="16" spans="1:4" x14ac:dyDescent="0.35">
      <c r="A16" s="1">
        <v>18</v>
      </c>
      <c r="B16">
        <v>64</v>
      </c>
      <c r="C16" s="7">
        <v>30</v>
      </c>
      <c r="D16" s="1" t="s">
        <v>2</v>
      </c>
    </row>
    <row r="17" spans="1:4" x14ac:dyDescent="0.35">
      <c r="A17" s="1">
        <v>19</v>
      </c>
      <c r="B17">
        <v>69</v>
      </c>
      <c r="C17" s="7">
        <v>29</v>
      </c>
      <c r="D17" s="1" t="s">
        <v>2</v>
      </c>
    </row>
    <row r="18" spans="1:4" x14ac:dyDescent="0.35">
      <c r="A18" s="1">
        <v>21</v>
      </c>
      <c r="B18">
        <v>65</v>
      </c>
      <c r="C18" s="7">
        <v>29</v>
      </c>
      <c r="D18" s="1" t="s">
        <v>3</v>
      </c>
    </row>
    <row r="19" spans="1:4" x14ac:dyDescent="0.35">
      <c r="A19" s="1">
        <v>23</v>
      </c>
      <c r="B19">
        <v>60</v>
      </c>
      <c r="C19" s="7">
        <v>30</v>
      </c>
      <c r="D19" s="1" t="s">
        <v>2</v>
      </c>
    </row>
    <row r="20" spans="1:4" x14ac:dyDescent="0.35">
      <c r="A20" s="5">
        <v>24</v>
      </c>
      <c r="B20" s="4">
        <v>67</v>
      </c>
      <c r="C20" s="9">
        <v>24</v>
      </c>
      <c r="D20" s="5" t="s">
        <v>2</v>
      </c>
    </row>
    <row r="21" spans="1:4" x14ac:dyDescent="0.35">
      <c r="A21" s="1">
        <v>26</v>
      </c>
      <c r="B21">
        <v>66</v>
      </c>
      <c r="C21" s="7">
        <v>28</v>
      </c>
      <c r="D21" s="1" t="s">
        <v>2</v>
      </c>
    </row>
    <row r="22" spans="1:4" x14ac:dyDescent="0.35">
      <c r="A22" s="1">
        <v>27</v>
      </c>
      <c r="B22">
        <v>66</v>
      </c>
      <c r="C22" s="7">
        <v>29</v>
      </c>
      <c r="D22" s="1" t="s">
        <v>2</v>
      </c>
    </row>
    <row r="23" spans="1:4" x14ac:dyDescent="0.35">
      <c r="A23" s="1">
        <v>28</v>
      </c>
      <c r="B23">
        <v>62</v>
      </c>
      <c r="C23" s="7">
        <v>28</v>
      </c>
      <c r="D23" s="1" t="s">
        <v>2</v>
      </c>
    </row>
    <row r="24" spans="1:4" x14ac:dyDescent="0.35">
      <c r="A24" s="1">
        <v>29</v>
      </c>
      <c r="B24">
        <v>73</v>
      </c>
      <c r="C24" s="7">
        <v>28</v>
      </c>
      <c r="D24" s="1" t="s">
        <v>2</v>
      </c>
    </row>
    <row r="25" spans="1:4" x14ac:dyDescent="0.35">
      <c r="A25" s="1">
        <v>33</v>
      </c>
      <c r="B25">
        <v>72</v>
      </c>
      <c r="C25" s="7">
        <v>29</v>
      </c>
      <c r="D25" s="1" t="s">
        <v>3</v>
      </c>
    </row>
    <row r="26" spans="1:4" x14ac:dyDescent="0.35">
      <c r="A26" s="5">
        <v>37</v>
      </c>
      <c r="B26" s="4">
        <v>74</v>
      </c>
      <c r="C26" s="9">
        <v>28</v>
      </c>
      <c r="D26" s="5" t="s">
        <v>2</v>
      </c>
    </row>
    <row r="27" spans="1:4" x14ac:dyDescent="0.35">
      <c r="A27" s="1">
        <v>38</v>
      </c>
      <c r="B27">
        <v>66</v>
      </c>
      <c r="C27" s="7">
        <v>28</v>
      </c>
      <c r="D27" s="1" t="s">
        <v>3</v>
      </c>
    </row>
    <row r="28" spans="1:4" x14ac:dyDescent="0.35">
      <c r="A28" s="5">
        <v>39</v>
      </c>
      <c r="B28" s="4">
        <v>66</v>
      </c>
      <c r="C28" s="9">
        <v>28</v>
      </c>
      <c r="D28" s="5" t="s">
        <v>2</v>
      </c>
    </row>
    <row r="29" spans="1:4" x14ac:dyDescent="0.35">
      <c r="A29" s="1">
        <v>40</v>
      </c>
      <c r="B29">
        <v>60</v>
      </c>
      <c r="C29" s="7">
        <v>22</v>
      </c>
      <c r="D29" s="1" t="s">
        <v>2</v>
      </c>
    </row>
    <row r="30" spans="1:4" x14ac:dyDescent="0.35">
      <c r="A30" s="1">
        <v>41</v>
      </c>
      <c r="B30">
        <v>76</v>
      </c>
      <c r="C30" s="7">
        <v>24</v>
      </c>
      <c r="D30" t="s">
        <v>3</v>
      </c>
    </row>
    <row r="31" spans="1:4" x14ac:dyDescent="0.35">
      <c r="A31" s="1">
        <v>45</v>
      </c>
      <c r="B31">
        <v>67</v>
      </c>
      <c r="C31" s="7">
        <v>27</v>
      </c>
      <c r="D31" t="s">
        <v>2</v>
      </c>
    </row>
    <row r="32" spans="1:4" x14ac:dyDescent="0.35">
      <c r="A32" s="1">
        <v>46</v>
      </c>
      <c r="B32">
        <v>69</v>
      </c>
      <c r="C32" s="7">
        <v>28</v>
      </c>
      <c r="D32" t="s">
        <v>3</v>
      </c>
    </row>
    <row r="33" spans="1:4" x14ac:dyDescent="0.35">
      <c r="A33" s="1">
        <v>47</v>
      </c>
      <c r="B33">
        <v>69</v>
      </c>
      <c r="C33" s="7">
        <v>25</v>
      </c>
      <c r="D33" t="s">
        <v>2</v>
      </c>
    </row>
    <row r="34" spans="1:4" x14ac:dyDescent="0.35">
      <c r="A34" s="1">
        <v>48</v>
      </c>
      <c r="B34">
        <v>71</v>
      </c>
      <c r="C34" s="7">
        <v>26</v>
      </c>
      <c r="D34" t="s">
        <v>2</v>
      </c>
    </row>
    <row r="35" spans="1:4" x14ac:dyDescent="0.35">
      <c r="A35" s="1">
        <v>49</v>
      </c>
      <c r="B35">
        <v>69</v>
      </c>
      <c r="C35" s="7">
        <v>28</v>
      </c>
      <c r="D35" t="s">
        <v>2</v>
      </c>
    </row>
    <row r="36" spans="1:4" x14ac:dyDescent="0.35">
      <c r="A36" s="1">
        <v>52</v>
      </c>
      <c r="B36">
        <v>74</v>
      </c>
      <c r="C36" s="7">
        <v>19</v>
      </c>
      <c r="D36" t="s">
        <v>3</v>
      </c>
    </row>
    <row r="37" spans="1:4" x14ac:dyDescent="0.35">
      <c r="A37" s="1">
        <v>53</v>
      </c>
      <c r="B37">
        <v>70</v>
      </c>
      <c r="C37" s="7">
        <v>17</v>
      </c>
      <c r="D37" t="s">
        <v>3</v>
      </c>
    </row>
    <row r="38" spans="1:4" x14ac:dyDescent="0.35">
      <c r="A38" s="1">
        <v>54</v>
      </c>
      <c r="B38">
        <v>71</v>
      </c>
      <c r="C38" s="7">
        <v>24</v>
      </c>
      <c r="D38" t="s">
        <v>3</v>
      </c>
    </row>
    <row r="39" spans="1:4" x14ac:dyDescent="0.35">
      <c r="A39" s="1">
        <v>55</v>
      </c>
      <c r="B39">
        <v>74</v>
      </c>
      <c r="C39" s="7">
        <v>21</v>
      </c>
      <c r="D39" t="s">
        <v>3</v>
      </c>
    </row>
    <row r="40" spans="1:4" x14ac:dyDescent="0.35">
      <c r="A40" s="1">
        <v>56</v>
      </c>
      <c r="B40">
        <v>80</v>
      </c>
      <c r="C40" s="7">
        <v>24</v>
      </c>
      <c r="D40" t="s">
        <v>3</v>
      </c>
    </row>
    <row r="42" spans="1:4" x14ac:dyDescent="0.35">
      <c r="B42">
        <f>MAX(B2:B40)</f>
        <v>80</v>
      </c>
      <c r="C42">
        <f>MAX(C2:C40)</f>
        <v>30</v>
      </c>
      <c r="D42" t="s">
        <v>27</v>
      </c>
    </row>
    <row r="43" spans="1:4" x14ac:dyDescent="0.35">
      <c r="B43">
        <f>MIN(B2:B40)</f>
        <v>60</v>
      </c>
      <c r="C43">
        <f>MIN(C2:C40)</f>
        <v>17</v>
      </c>
      <c r="D43" t="s">
        <v>30</v>
      </c>
    </row>
    <row r="44" spans="1:4" x14ac:dyDescent="0.35">
      <c r="B44">
        <f>AVERAGE(B2:B40)</f>
        <v>70.15384615384616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88EF-FB30-4C7E-8CA5-E216E81E4FEE}">
  <dimension ref="A1:S18"/>
  <sheetViews>
    <sheetView workbookViewId="0">
      <selection activeCell="E18" sqref="E18"/>
    </sheetView>
  </sheetViews>
  <sheetFormatPr defaultRowHeight="14.5" x14ac:dyDescent="0.35"/>
  <sheetData>
    <row r="1" spans="1:19" x14ac:dyDescent="0.35">
      <c r="A1" s="3" t="s">
        <v>0</v>
      </c>
      <c r="B1" s="10" t="s">
        <v>26</v>
      </c>
      <c r="C1" s="3" t="s">
        <v>1</v>
      </c>
      <c r="D1" s="8" t="s">
        <v>4</v>
      </c>
      <c r="E1" s="8" t="s">
        <v>5</v>
      </c>
      <c r="F1" s="10" t="s">
        <v>17</v>
      </c>
      <c r="G1" s="10" t="s">
        <v>18</v>
      </c>
      <c r="H1" s="10" t="s">
        <v>19</v>
      </c>
      <c r="I1" t="s">
        <v>11</v>
      </c>
      <c r="J1" t="s">
        <v>12</v>
      </c>
      <c r="K1" t="s">
        <v>13</v>
      </c>
      <c r="L1" t="s">
        <v>22</v>
      </c>
      <c r="M1" t="s">
        <v>23</v>
      </c>
      <c r="N1" t="s">
        <v>24</v>
      </c>
      <c r="O1" t="s">
        <v>25</v>
      </c>
      <c r="P1" t="s">
        <v>9</v>
      </c>
      <c r="Q1" t="s">
        <v>10</v>
      </c>
      <c r="R1" s="8" t="s">
        <v>14</v>
      </c>
      <c r="S1" s="8" t="s">
        <v>15</v>
      </c>
    </row>
    <row r="2" spans="1:19" x14ac:dyDescent="0.35">
      <c r="A2" s="1">
        <v>1</v>
      </c>
      <c r="B2">
        <v>67</v>
      </c>
      <c r="C2" s="1" t="s">
        <v>2</v>
      </c>
      <c r="D2" s="7" t="s">
        <v>6</v>
      </c>
      <c r="E2" s="7">
        <v>29</v>
      </c>
      <c r="F2">
        <v>15</v>
      </c>
      <c r="G2">
        <v>45</v>
      </c>
      <c r="H2" s="2" t="s">
        <v>20</v>
      </c>
      <c r="I2">
        <v>0.36199999999999999</v>
      </c>
      <c r="J2" s="2">
        <v>0.38700000000000001</v>
      </c>
      <c r="L2">
        <v>1.759819794453048</v>
      </c>
      <c r="M2">
        <v>1.720459706833666</v>
      </c>
      <c r="O2">
        <v>1.1310908379181816E-2</v>
      </c>
      <c r="P2">
        <v>0.3745</v>
      </c>
      <c r="Q2">
        <v>1.7399171799422346</v>
      </c>
      <c r="R2" s="7" t="s">
        <v>6</v>
      </c>
      <c r="S2" s="7" t="s">
        <v>6</v>
      </c>
    </row>
    <row r="3" spans="1:19" x14ac:dyDescent="0.35">
      <c r="A3" s="1">
        <v>2</v>
      </c>
      <c r="B3">
        <v>67</v>
      </c>
      <c r="C3" s="1" t="s">
        <v>3</v>
      </c>
      <c r="D3" s="7" t="s">
        <v>7</v>
      </c>
      <c r="E3" s="7">
        <v>23</v>
      </c>
      <c r="F3">
        <v>8</v>
      </c>
      <c r="G3">
        <v>36</v>
      </c>
      <c r="H3">
        <v>10</v>
      </c>
      <c r="I3">
        <v>0.45400000000000001</v>
      </c>
      <c r="J3">
        <v>0.43099999999999999</v>
      </c>
      <c r="K3">
        <v>0.436</v>
      </c>
      <c r="L3">
        <v>1.6231658226204391</v>
      </c>
      <c r="M3">
        <v>1.6553002714692446</v>
      </c>
      <c r="N3">
        <v>1.6482067510548521</v>
      </c>
      <c r="O3">
        <v>8.3940909486985554E-3</v>
      </c>
      <c r="P3">
        <v>0.4403333333333333</v>
      </c>
      <c r="Q3">
        <v>1.6421080288135221</v>
      </c>
      <c r="R3" s="7" t="s">
        <v>16</v>
      </c>
      <c r="S3" s="7" t="s">
        <v>6</v>
      </c>
    </row>
    <row r="4" spans="1:19" x14ac:dyDescent="0.35">
      <c r="A4" s="1">
        <v>3</v>
      </c>
      <c r="B4">
        <v>72</v>
      </c>
      <c r="C4" s="1" t="s">
        <v>2</v>
      </c>
      <c r="D4" s="7" t="s">
        <v>7</v>
      </c>
      <c r="E4" s="7">
        <v>24</v>
      </c>
      <c r="F4">
        <v>39</v>
      </c>
      <c r="G4">
        <v>55</v>
      </c>
      <c r="H4">
        <v>16</v>
      </c>
      <c r="I4">
        <v>0.34699999999999998</v>
      </c>
      <c r="J4">
        <v>0.39800000000000002</v>
      </c>
      <c r="L4">
        <v>1.7843123260295481</v>
      </c>
      <c r="M4">
        <v>1.7036936077415836</v>
      </c>
      <c r="O4">
        <v>2.3125479340902623E-2</v>
      </c>
      <c r="P4">
        <v>0.3725</v>
      </c>
      <c r="Q4">
        <v>1.7430712916158271</v>
      </c>
      <c r="R4" s="7" t="s">
        <v>7</v>
      </c>
      <c r="S4" s="7" t="s">
        <v>6</v>
      </c>
    </row>
    <row r="5" spans="1:19" x14ac:dyDescent="0.35">
      <c r="A5" s="1">
        <v>4</v>
      </c>
      <c r="B5">
        <v>71</v>
      </c>
      <c r="C5" s="1" t="s">
        <v>3</v>
      </c>
      <c r="D5" s="7" t="s">
        <v>6</v>
      </c>
      <c r="E5" s="7">
        <v>27</v>
      </c>
      <c r="F5">
        <v>16</v>
      </c>
      <c r="G5">
        <v>50</v>
      </c>
      <c r="H5">
        <v>20</v>
      </c>
      <c r="I5">
        <v>0.41099999999999998</v>
      </c>
      <c r="J5">
        <v>0.40600000000000003</v>
      </c>
      <c r="L5">
        <v>1.6842956275685508</v>
      </c>
      <c r="M5">
        <v>1.6917038841521177</v>
      </c>
      <c r="O5">
        <v>2.1943996826183569E-3</v>
      </c>
      <c r="P5">
        <v>0.40849999999999997</v>
      </c>
      <c r="Q5">
        <v>1.6879916275615274</v>
      </c>
      <c r="R5" s="7" t="s">
        <v>6</v>
      </c>
      <c r="S5" s="7" t="s">
        <v>7</v>
      </c>
    </row>
    <row r="6" spans="1:19" x14ac:dyDescent="0.35">
      <c r="A6" s="1">
        <v>5</v>
      </c>
      <c r="B6">
        <v>75</v>
      </c>
      <c r="C6" s="1" t="s">
        <v>2</v>
      </c>
      <c r="D6" s="7" t="s">
        <v>7</v>
      </c>
      <c r="E6" s="7">
        <v>21</v>
      </c>
      <c r="F6">
        <v>13</v>
      </c>
      <c r="G6">
        <v>32</v>
      </c>
      <c r="H6">
        <v>16</v>
      </c>
      <c r="I6">
        <v>0.38600000000000001</v>
      </c>
      <c r="J6">
        <v>0.39300000000000002</v>
      </c>
      <c r="L6">
        <v>1.7220002755200441</v>
      </c>
      <c r="M6">
        <v>1.7112738722705183</v>
      </c>
      <c r="O6">
        <v>3.1242794744893755E-3</v>
      </c>
      <c r="P6">
        <v>0.38950000000000001</v>
      </c>
      <c r="Q6">
        <v>1.7166203179180828</v>
      </c>
      <c r="R6" s="7" t="s">
        <v>7</v>
      </c>
      <c r="S6" s="7" t="s">
        <v>7</v>
      </c>
    </row>
    <row r="7" spans="1:19" x14ac:dyDescent="0.35">
      <c r="A7" s="1">
        <v>6</v>
      </c>
      <c r="B7">
        <v>73</v>
      </c>
      <c r="C7" s="1" t="s">
        <v>3</v>
      </c>
      <c r="D7" s="7" t="s">
        <v>7</v>
      </c>
      <c r="E7" s="7">
        <v>17</v>
      </c>
      <c r="F7">
        <v>10</v>
      </c>
      <c r="G7">
        <v>21</v>
      </c>
      <c r="H7">
        <v>11</v>
      </c>
      <c r="I7">
        <v>0.38600000000000001</v>
      </c>
      <c r="J7">
        <v>0.371</v>
      </c>
      <c r="L7">
        <v>1.7220002755200441</v>
      </c>
      <c r="M7">
        <v>1.74544439014173</v>
      </c>
      <c r="O7">
        <v>6.761517098040442E-3</v>
      </c>
      <c r="P7">
        <v>0.3785</v>
      </c>
      <c r="Q7">
        <v>1.7336430775631912</v>
      </c>
      <c r="R7" s="7" t="s">
        <v>7</v>
      </c>
      <c r="S7" s="7" t="s">
        <v>7</v>
      </c>
    </row>
    <row r="8" spans="1:19" x14ac:dyDescent="0.35">
      <c r="A8" s="1">
        <v>7</v>
      </c>
      <c r="B8">
        <v>75</v>
      </c>
      <c r="C8" s="1" t="s">
        <v>3</v>
      </c>
      <c r="D8" s="7" t="s">
        <v>7</v>
      </c>
      <c r="E8" s="7">
        <v>26</v>
      </c>
      <c r="F8">
        <v>11</v>
      </c>
      <c r="G8">
        <v>37</v>
      </c>
      <c r="H8">
        <v>20</v>
      </c>
      <c r="I8">
        <v>0.45900000000000002</v>
      </c>
      <c r="J8">
        <v>0.43</v>
      </c>
      <c r="L8">
        <v>1.6163444753345833</v>
      </c>
      <c r="M8">
        <v>1.6567263088137838</v>
      </c>
      <c r="O8">
        <v>1.2339476856239311E-2</v>
      </c>
      <c r="P8">
        <v>0.44450000000000001</v>
      </c>
      <c r="Q8">
        <v>1.6362862846483621</v>
      </c>
      <c r="R8" s="7" t="s">
        <v>7</v>
      </c>
      <c r="S8" s="7" t="s">
        <v>7</v>
      </c>
    </row>
    <row r="9" spans="1:19" x14ac:dyDescent="0.35">
      <c r="A9" s="1">
        <v>14</v>
      </c>
      <c r="B9">
        <v>80</v>
      </c>
      <c r="C9" s="1" t="s">
        <v>3</v>
      </c>
      <c r="D9" s="7" t="s">
        <v>7</v>
      </c>
      <c r="E9" s="7">
        <v>23</v>
      </c>
      <c r="F9">
        <v>17</v>
      </c>
      <c r="G9">
        <v>48</v>
      </c>
      <c r="H9">
        <v>15</v>
      </c>
      <c r="I9">
        <v>0.497</v>
      </c>
      <c r="J9">
        <v>0.45900000000000002</v>
      </c>
      <c r="L9">
        <v>1.5663178998809599</v>
      </c>
      <c r="M9">
        <v>1.6163444753345833</v>
      </c>
      <c r="O9">
        <v>1.5722352133564738E-2</v>
      </c>
      <c r="P9">
        <v>0.47799999999999998</v>
      </c>
      <c r="Q9">
        <v>1.5909380170548555</v>
      </c>
      <c r="R9" s="7" t="s">
        <v>6</v>
      </c>
      <c r="S9" s="7" t="s">
        <v>7</v>
      </c>
    </row>
    <row r="10" spans="1:19" x14ac:dyDescent="0.35">
      <c r="A10" s="1">
        <v>17</v>
      </c>
      <c r="B10">
        <v>79</v>
      </c>
      <c r="C10" s="1" t="s">
        <v>3</v>
      </c>
      <c r="D10" s="7" t="s">
        <v>7</v>
      </c>
      <c r="E10" s="7">
        <v>19</v>
      </c>
      <c r="F10">
        <v>10</v>
      </c>
      <c r="G10">
        <v>27</v>
      </c>
      <c r="H10">
        <v>11</v>
      </c>
      <c r="I10">
        <v>0.49099999999999999</v>
      </c>
      <c r="J10">
        <v>0.46200000000000002</v>
      </c>
      <c r="L10">
        <v>1.5740099477428697</v>
      </c>
      <c r="M10">
        <v>1.6122791177608666</v>
      </c>
      <c r="P10">
        <v>0.47650000000000003</v>
      </c>
      <c r="Q10">
        <v>1.5929147153461403</v>
      </c>
      <c r="R10" s="7" t="s">
        <v>6</v>
      </c>
      <c r="S10" s="7" t="s">
        <v>7</v>
      </c>
    </row>
    <row r="11" spans="1:19" x14ac:dyDescent="0.35">
      <c r="A11" s="5">
        <v>24</v>
      </c>
      <c r="B11" s="4">
        <v>67</v>
      </c>
      <c r="C11" s="5" t="s">
        <v>2</v>
      </c>
      <c r="D11" s="9" t="s">
        <v>7</v>
      </c>
      <c r="E11" s="9">
        <v>24</v>
      </c>
      <c r="F11" s="4">
        <v>11</v>
      </c>
      <c r="G11" s="4">
        <v>46</v>
      </c>
      <c r="H11" s="4">
        <v>30</v>
      </c>
      <c r="I11" s="4">
        <v>0.39800000000000002</v>
      </c>
      <c r="J11" s="4">
        <v>0.41599999999999998</v>
      </c>
      <c r="K11" s="4"/>
      <c r="L11">
        <v>1.7036936077415836</v>
      </c>
      <c r="M11">
        <v>1.6769519720955193</v>
      </c>
      <c r="P11">
        <v>0.40700000000000003</v>
      </c>
      <c r="Q11">
        <v>1.6902170238658643</v>
      </c>
      <c r="R11" s="9" t="s">
        <v>7</v>
      </c>
      <c r="S11" s="9" t="s">
        <v>7</v>
      </c>
    </row>
    <row r="12" spans="1:19" x14ac:dyDescent="0.35">
      <c r="A12" s="5">
        <v>37</v>
      </c>
      <c r="B12" s="4">
        <v>74</v>
      </c>
      <c r="C12" s="5" t="s">
        <v>2</v>
      </c>
      <c r="D12" s="9" t="s">
        <v>7</v>
      </c>
      <c r="E12" s="9">
        <v>28</v>
      </c>
      <c r="F12" s="4">
        <v>14</v>
      </c>
      <c r="G12" s="4">
        <v>52</v>
      </c>
      <c r="H12" s="4">
        <v>11</v>
      </c>
      <c r="I12" s="4">
        <v>0.38</v>
      </c>
      <c r="J12" s="4">
        <v>0.36599999999999999</v>
      </c>
      <c r="K12" s="4"/>
      <c r="L12">
        <v>1.7313019390581716</v>
      </c>
      <c r="M12">
        <v>1.7534015991022587</v>
      </c>
      <c r="P12">
        <v>0.373</v>
      </c>
      <c r="Q12">
        <v>1.7422816921039792</v>
      </c>
      <c r="R12" s="9" t="s">
        <v>6</v>
      </c>
      <c r="S12" s="9" t="s">
        <v>7</v>
      </c>
    </row>
    <row r="13" spans="1:19" x14ac:dyDescent="0.35">
      <c r="A13" s="5">
        <v>39</v>
      </c>
      <c r="B13" s="4">
        <v>66</v>
      </c>
      <c r="C13" s="5" t="s">
        <v>2</v>
      </c>
      <c r="D13" s="9" t="s">
        <v>7</v>
      </c>
      <c r="E13" s="9">
        <v>28</v>
      </c>
      <c r="F13" s="4">
        <v>11</v>
      </c>
      <c r="G13" s="4">
        <v>36</v>
      </c>
      <c r="H13" s="4">
        <v>14</v>
      </c>
      <c r="I13" s="4">
        <v>0.40799999999999997</v>
      </c>
      <c r="J13" s="4">
        <v>0.38700000000000001</v>
      </c>
      <c r="K13" s="4"/>
      <c r="L13">
        <v>1.6887327749256957</v>
      </c>
      <c r="M13">
        <v>1.720459706833666</v>
      </c>
      <c r="P13">
        <v>0.39749999999999996</v>
      </c>
      <c r="Q13">
        <v>1.7044486108743822</v>
      </c>
      <c r="R13" s="9" t="s">
        <v>6</v>
      </c>
      <c r="S13" s="9" t="s">
        <v>6</v>
      </c>
    </row>
    <row r="14" spans="1:19" x14ac:dyDescent="0.35">
      <c r="A14" s="1">
        <v>40</v>
      </c>
      <c r="B14">
        <v>60</v>
      </c>
      <c r="C14" s="1" t="s">
        <v>2</v>
      </c>
      <c r="D14" s="7" t="s">
        <v>7</v>
      </c>
      <c r="E14" s="7">
        <v>22</v>
      </c>
      <c r="F14">
        <v>15</v>
      </c>
      <c r="G14">
        <v>48</v>
      </c>
      <c r="H14">
        <v>13</v>
      </c>
      <c r="P14" t="e">
        <v>#DIV/0!</v>
      </c>
      <c r="Q14" t="e">
        <v>#DIV/0!</v>
      </c>
      <c r="R14" s="7" t="s">
        <v>6</v>
      </c>
      <c r="S14" s="7"/>
    </row>
    <row r="15" spans="1:19" x14ac:dyDescent="0.35">
      <c r="A15" s="1">
        <v>41</v>
      </c>
      <c r="B15">
        <v>76</v>
      </c>
      <c r="C15" t="s">
        <v>3</v>
      </c>
      <c r="D15" s="7" t="s">
        <v>7</v>
      </c>
      <c r="E15" s="7">
        <v>24</v>
      </c>
      <c r="F15">
        <v>9</v>
      </c>
      <c r="G15">
        <v>33</v>
      </c>
      <c r="H15">
        <v>11</v>
      </c>
      <c r="I15">
        <v>0.41399999999999998</v>
      </c>
      <c r="L15">
        <v>1.6798817363257625</v>
      </c>
      <c r="P15">
        <v>0.41399999999999998</v>
      </c>
      <c r="Q15">
        <v>1.6798817363257625</v>
      </c>
      <c r="R15" s="7" t="s">
        <v>7</v>
      </c>
      <c r="S15" s="7" t="s">
        <v>7</v>
      </c>
    </row>
    <row r="16" spans="1:19" x14ac:dyDescent="0.35">
      <c r="B16">
        <f>AVERAGE(B2:B15)</f>
        <v>71.571428571428569</v>
      </c>
    </row>
    <row r="17" spans="2:18" x14ac:dyDescent="0.35">
      <c r="B17">
        <f>MAX(B2:B15)</f>
        <v>80</v>
      </c>
    </row>
    <row r="18" spans="2:18" x14ac:dyDescent="0.35">
      <c r="B18">
        <f>MIN(B2:B15)</f>
        <v>60</v>
      </c>
      <c r="D18" t="s">
        <v>29</v>
      </c>
      <c r="E18">
        <f>AVERAGE(E2:E15)</f>
        <v>23.928571428571427</v>
      </c>
      <c r="R18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E70AB-22F5-412A-9B68-AE0B0EA2DD02}">
  <dimension ref="A1:I41"/>
  <sheetViews>
    <sheetView workbookViewId="0">
      <pane ySplit="1" topLeftCell="A16" activePane="bottomLeft" state="frozen"/>
      <selection pane="bottomLeft" activeCell="C1" sqref="C1:C40"/>
    </sheetView>
  </sheetViews>
  <sheetFormatPr defaultRowHeight="14.5" x14ac:dyDescent="0.35"/>
  <cols>
    <col min="4" max="4" width="15" customWidth="1"/>
    <col min="5" max="5" width="13.7265625" customWidth="1"/>
    <col min="6" max="6" width="18" customWidth="1"/>
    <col min="7" max="7" width="17.1796875" customWidth="1"/>
    <col min="8" max="8" width="20.453125" customWidth="1"/>
    <col min="9" max="9" width="20.54296875" customWidth="1"/>
  </cols>
  <sheetData>
    <row r="1" spans="1:9" x14ac:dyDescent="0.35">
      <c r="A1" s="3" t="s">
        <v>0</v>
      </c>
      <c r="B1" s="8" t="s">
        <v>4</v>
      </c>
      <c r="C1" s="8" t="s">
        <v>14</v>
      </c>
      <c r="D1" t="s">
        <v>31</v>
      </c>
      <c r="E1" t="s">
        <v>32</v>
      </c>
      <c r="F1" t="s">
        <v>33</v>
      </c>
      <c r="G1" t="s">
        <v>34</v>
      </c>
      <c r="H1" t="s">
        <v>36</v>
      </c>
      <c r="I1" t="s">
        <v>35</v>
      </c>
    </row>
    <row r="2" spans="1:9" x14ac:dyDescent="0.35">
      <c r="A2" s="1">
        <v>1</v>
      </c>
      <c r="B2" s="7" t="s">
        <v>6</v>
      </c>
      <c r="C2" s="7" t="s">
        <v>6</v>
      </c>
      <c r="D2">
        <f>IF(AND(B2="Y", C2="Y"),1,0)</f>
        <v>0</v>
      </c>
      <c r="E2">
        <f>IF(AND(B2="Y", C2="N"),1,0)</f>
        <v>0</v>
      </c>
      <c r="F2">
        <f>IF(AND(B2="N", C2="Y"),1,0)</f>
        <v>0</v>
      </c>
      <c r="G2">
        <f>IF(AND(B2="N", C2="N"),1,0)</f>
        <v>1</v>
      </c>
      <c r="H2">
        <f>IF(AND(B2="Y", C2="N/A"),1,0)</f>
        <v>0</v>
      </c>
      <c r="I2">
        <f>IF(AND(B2="N", C2="N/A"),1,0)</f>
        <v>0</v>
      </c>
    </row>
    <row r="3" spans="1:9" x14ac:dyDescent="0.35">
      <c r="A3" s="1">
        <v>2</v>
      </c>
      <c r="B3" s="7" t="s">
        <v>7</v>
      </c>
      <c r="C3" s="7" t="s">
        <v>16</v>
      </c>
      <c r="D3">
        <f>IF(AND(B3="Y", C3="Y"),1,0)</f>
        <v>0</v>
      </c>
      <c r="E3">
        <f>IF(AND(B3="Y", C3="N"),1,0)</f>
        <v>0</v>
      </c>
      <c r="F3">
        <f>IF(AND(B3="N", C3="Y"),1,0)</f>
        <v>0</v>
      </c>
      <c r="G3">
        <f>IF(AND(B3="N", C3="N"),1,0)</f>
        <v>0</v>
      </c>
      <c r="H3">
        <f>IF(AND(B3="Y", C3="N/A"),1,0)</f>
        <v>1</v>
      </c>
      <c r="I3">
        <f>IF(AND(B3="N", C3="N/A"),1,0)</f>
        <v>0</v>
      </c>
    </row>
    <row r="4" spans="1:9" x14ac:dyDescent="0.35">
      <c r="A4" s="1">
        <v>3</v>
      </c>
      <c r="B4" s="7" t="s">
        <v>7</v>
      </c>
      <c r="C4" s="7" t="s">
        <v>7</v>
      </c>
      <c r="D4">
        <f>IF(AND(B4="Y", C4="Y"),1,0)</f>
        <v>1</v>
      </c>
      <c r="E4">
        <f>IF(AND(B4="Y", C4="N"),1,0)</f>
        <v>0</v>
      </c>
      <c r="F4">
        <f>IF(AND(B4="N", C4="Y"),1,0)</f>
        <v>0</v>
      </c>
      <c r="G4">
        <f>IF(AND(B4="N", C4="N"),1,0)</f>
        <v>0</v>
      </c>
      <c r="H4">
        <f>IF(AND(B4="Y", C4="N/A"),1,0)</f>
        <v>0</v>
      </c>
      <c r="I4">
        <f>IF(AND(B4="N", C4="N/A"),1,0)</f>
        <v>0</v>
      </c>
    </row>
    <row r="5" spans="1:9" x14ac:dyDescent="0.35">
      <c r="A5" s="1">
        <v>4</v>
      </c>
      <c r="B5" s="7" t="s">
        <v>6</v>
      </c>
      <c r="C5" s="7" t="s">
        <v>6</v>
      </c>
      <c r="D5">
        <f>IF(AND(B5="Y", C5="Y"),1,0)</f>
        <v>0</v>
      </c>
      <c r="E5">
        <f>IF(AND(B5="Y", C5="N"),1,0)</f>
        <v>0</v>
      </c>
      <c r="F5">
        <f>IF(AND(B5="N", C5="Y"),1,0)</f>
        <v>0</v>
      </c>
      <c r="G5">
        <f>IF(AND(B5="N", C5="N"),1,0)</f>
        <v>1</v>
      </c>
      <c r="H5">
        <f>IF(AND(B5="Y", C5="N/A"),1,0)</f>
        <v>0</v>
      </c>
      <c r="I5">
        <f>IF(AND(B5="N", C5="N/A"),1,0)</f>
        <v>0</v>
      </c>
    </row>
    <row r="6" spans="1:9" x14ac:dyDescent="0.35">
      <c r="A6" s="1">
        <v>5</v>
      </c>
      <c r="B6" s="7" t="s">
        <v>7</v>
      </c>
      <c r="C6" s="7" t="s">
        <v>7</v>
      </c>
      <c r="D6">
        <f>IF(AND(B6="Y", C6="Y"),1,0)</f>
        <v>1</v>
      </c>
      <c r="E6">
        <f>IF(AND(B6="Y", C6="N"),1,0)</f>
        <v>0</v>
      </c>
      <c r="F6">
        <f>IF(AND(B6="N", C6="Y"),1,0)</f>
        <v>0</v>
      </c>
      <c r="G6">
        <f>IF(AND(B6="N", C6="N"),1,0)</f>
        <v>0</v>
      </c>
      <c r="H6">
        <f>IF(AND(B6="Y", C6="N/A"),1,0)</f>
        <v>0</v>
      </c>
      <c r="I6">
        <f>IF(AND(B6="N", C6="N/A"),1,0)</f>
        <v>0</v>
      </c>
    </row>
    <row r="7" spans="1:9" x14ac:dyDescent="0.35">
      <c r="A7" s="1">
        <v>6</v>
      </c>
      <c r="B7" s="7" t="s">
        <v>7</v>
      </c>
      <c r="C7" s="7" t="s">
        <v>7</v>
      </c>
      <c r="D7">
        <f>IF(AND(B7="Y", C7="Y"),1,0)</f>
        <v>1</v>
      </c>
      <c r="E7">
        <f>IF(AND(B7="Y", C7="N"),1,0)</f>
        <v>0</v>
      </c>
      <c r="F7">
        <f>IF(AND(B7="N", C7="Y"),1,0)</f>
        <v>0</v>
      </c>
      <c r="G7">
        <f>IF(AND(B7="N", C7="N"),1,0)</f>
        <v>0</v>
      </c>
      <c r="H7">
        <f>IF(AND(B7="Y", C7="N/A"),1,0)</f>
        <v>0</v>
      </c>
      <c r="I7">
        <f>IF(AND(B7="N", C7="N/A"),1,0)</f>
        <v>0</v>
      </c>
    </row>
    <row r="8" spans="1:9" x14ac:dyDescent="0.35">
      <c r="A8" s="1">
        <v>7</v>
      </c>
      <c r="B8" s="7" t="s">
        <v>7</v>
      </c>
      <c r="C8" s="7" t="s">
        <v>7</v>
      </c>
      <c r="D8">
        <f>IF(AND(B8="Y", C8="Y"),1,0)</f>
        <v>1</v>
      </c>
      <c r="E8">
        <f>IF(AND(B8="Y", C8="N"),1,0)</f>
        <v>0</v>
      </c>
      <c r="F8">
        <f>IF(AND(B8="N", C8="Y"),1,0)</f>
        <v>0</v>
      </c>
      <c r="G8">
        <f>IF(AND(B8="N", C8="N"),1,0)</f>
        <v>0</v>
      </c>
      <c r="H8">
        <f>IF(AND(B8="Y", C8="N/A"),1,0)</f>
        <v>0</v>
      </c>
      <c r="I8">
        <f>IF(AND(B8="N", C8="N/A"),1,0)</f>
        <v>0</v>
      </c>
    </row>
    <row r="9" spans="1:9" x14ac:dyDescent="0.35">
      <c r="A9" s="1">
        <v>9</v>
      </c>
      <c r="B9" s="7" t="s">
        <v>6</v>
      </c>
      <c r="C9" s="7" t="s">
        <v>6</v>
      </c>
      <c r="D9">
        <f>IF(AND(B9="Y", C9="Y"),1,0)</f>
        <v>0</v>
      </c>
      <c r="E9">
        <f>IF(AND(B9="Y", C9="N"),1,0)</f>
        <v>0</v>
      </c>
      <c r="F9">
        <f>IF(AND(B9="N", C9="Y"),1,0)</f>
        <v>0</v>
      </c>
      <c r="G9">
        <f>IF(AND(B9="N", C9="N"),1,0)</f>
        <v>1</v>
      </c>
      <c r="H9">
        <f>IF(AND(B9="Y", C9="N/A"),1,0)</f>
        <v>0</v>
      </c>
      <c r="I9">
        <f>IF(AND(B9="N", C9="N/A"),1,0)</f>
        <v>0</v>
      </c>
    </row>
    <row r="10" spans="1:9" x14ac:dyDescent="0.35">
      <c r="A10" s="1">
        <v>10</v>
      </c>
      <c r="B10" s="7" t="s">
        <v>6</v>
      </c>
      <c r="C10" s="7" t="s">
        <v>6</v>
      </c>
      <c r="D10">
        <f>IF(AND(B10="Y", C10="Y"),1,0)</f>
        <v>0</v>
      </c>
      <c r="E10">
        <f>IF(AND(B10="Y", C10="N"),1,0)</f>
        <v>0</v>
      </c>
      <c r="F10">
        <f>IF(AND(B10="N", C10="Y"),1,0)</f>
        <v>0</v>
      </c>
      <c r="G10">
        <f>IF(AND(B10="N", C10="N"),1,0)</f>
        <v>1</v>
      </c>
      <c r="H10">
        <f>IF(AND(B10="Y", C10="N/A"),1,0)</f>
        <v>0</v>
      </c>
      <c r="I10">
        <f>IF(AND(B10="N", C10="N/A"),1,0)</f>
        <v>0</v>
      </c>
    </row>
    <row r="11" spans="1:9" x14ac:dyDescent="0.35">
      <c r="A11" s="1">
        <v>11</v>
      </c>
      <c r="B11" s="7" t="s">
        <v>6</v>
      </c>
      <c r="C11" s="7" t="s">
        <v>6</v>
      </c>
      <c r="D11">
        <f>IF(AND(B11="Y", C11="Y"),1,0)</f>
        <v>0</v>
      </c>
      <c r="E11">
        <f>IF(AND(B11="Y", C11="N"),1,0)</f>
        <v>0</v>
      </c>
      <c r="F11">
        <f>IF(AND(B11="N", C11="Y"),1,0)</f>
        <v>0</v>
      </c>
      <c r="G11">
        <f>IF(AND(B11="N", C11="N"),1,0)</f>
        <v>1</v>
      </c>
      <c r="H11">
        <f>IF(AND(B11="Y", C11="N/A"),1,0)</f>
        <v>0</v>
      </c>
      <c r="I11">
        <f>IF(AND(B11="N", C11="N/A"),1,0)</f>
        <v>0</v>
      </c>
    </row>
    <row r="12" spans="1:9" x14ac:dyDescent="0.35">
      <c r="A12" s="1">
        <v>12</v>
      </c>
      <c r="B12" s="7" t="s">
        <v>6</v>
      </c>
      <c r="C12" s="7" t="s">
        <v>6</v>
      </c>
      <c r="D12">
        <f>IF(AND(B12="Y", C12="Y"),1,0)</f>
        <v>0</v>
      </c>
      <c r="E12">
        <f>IF(AND(B12="Y", C12="N"),1,0)</f>
        <v>0</v>
      </c>
      <c r="F12">
        <f>IF(AND(B12="N", C12="Y"),1,0)</f>
        <v>0</v>
      </c>
      <c r="G12">
        <f>IF(AND(B12="N", C12="N"),1,0)</f>
        <v>1</v>
      </c>
      <c r="H12">
        <f>IF(AND(B12="Y", C12="N/A"),1,0)</f>
        <v>0</v>
      </c>
      <c r="I12">
        <f>IF(AND(B12="N", C12="N/A"),1,0)</f>
        <v>0</v>
      </c>
    </row>
    <row r="13" spans="1:9" x14ac:dyDescent="0.35">
      <c r="A13" s="1">
        <v>14</v>
      </c>
      <c r="B13" s="7" t="s">
        <v>7</v>
      </c>
      <c r="C13" s="7" t="s">
        <v>6</v>
      </c>
      <c r="D13">
        <f>IF(AND(B13="Y", C13="Y"),1,0)</f>
        <v>0</v>
      </c>
      <c r="E13">
        <f>IF(AND(B13="Y", C13="N"),1,0)</f>
        <v>1</v>
      </c>
      <c r="F13">
        <f>IF(AND(B13="N", C13="Y"),1,0)</f>
        <v>0</v>
      </c>
      <c r="G13">
        <f>IF(AND(B13="N", C13="N"),1,0)</f>
        <v>0</v>
      </c>
      <c r="H13">
        <f>IF(AND(B13="Y", C13="N/A"),1,0)</f>
        <v>0</v>
      </c>
      <c r="I13">
        <f>IF(AND(B13="N", C13="N/A"),1,0)</f>
        <v>0</v>
      </c>
    </row>
    <row r="14" spans="1:9" x14ac:dyDescent="0.35">
      <c r="A14" s="1"/>
      <c r="B14" s="7"/>
      <c r="C14" s="7"/>
      <c r="H14">
        <f>IF(AND(B14="Y", C14="N/A"),1,0)</f>
        <v>0</v>
      </c>
      <c r="I14">
        <f>IF(AND(B14="N", C14="N/A"),1,0)</f>
        <v>0</v>
      </c>
    </row>
    <row r="15" spans="1:9" x14ac:dyDescent="0.35">
      <c r="A15" s="1">
        <v>17</v>
      </c>
      <c r="B15" s="7" t="s">
        <v>7</v>
      </c>
      <c r="C15" s="7" t="s">
        <v>6</v>
      </c>
      <c r="D15">
        <f>IF(AND(B15="Y", C15="Y"),1,0)</f>
        <v>0</v>
      </c>
      <c r="E15">
        <f>IF(AND(B15="Y", C15="N"),1,0)</f>
        <v>1</v>
      </c>
      <c r="F15">
        <f>IF(AND(B15="N", C15="Y"),1,0)</f>
        <v>0</v>
      </c>
      <c r="G15">
        <f>IF(AND(B15="N", C15="N"),1,0)</f>
        <v>0</v>
      </c>
      <c r="H15">
        <f>IF(AND(B15="Y", C15="N/A"),1,0)</f>
        <v>0</v>
      </c>
      <c r="I15">
        <f>IF(AND(B15="N", C15="N/A"),1,0)</f>
        <v>0</v>
      </c>
    </row>
    <row r="16" spans="1:9" x14ac:dyDescent="0.35">
      <c r="A16" s="1">
        <v>18</v>
      </c>
      <c r="B16" s="7" t="s">
        <v>6</v>
      </c>
      <c r="C16" s="7" t="s">
        <v>6</v>
      </c>
      <c r="D16">
        <f>IF(AND(B16="Y", C16="Y"),1,0)</f>
        <v>0</v>
      </c>
      <c r="E16">
        <f>IF(AND(B16="Y", C16="N"),1,0)</f>
        <v>0</v>
      </c>
      <c r="F16">
        <f>IF(AND(B16="N", C16="Y"),1,0)</f>
        <v>0</v>
      </c>
      <c r="G16">
        <f>IF(AND(B16="N", C16="N"),1,0)</f>
        <v>1</v>
      </c>
      <c r="H16">
        <f>IF(AND(B16="Y", C16="N/A"),1,0)</f>
        <v>0</v>
      </c>
      <c r="I16">
        <f>IF(AND(B16="N", C16="N/A"),1,0)</f>
        <v>0</v>
      </c>
    </row>
    <row r="17" spans="1:9" x14ac:dyDescent="0.35">
      <c r="A17" s="1">
        <v>19</v>
      </c>
      <c r="B17" s="7" t="s">
        <v>6</v>
      </c>
      <c r="C17" s="7" t="s">
        <v>7</v>
      </c>
      <c r="D17">
        <f>IF(AND(B17="Y", C17="Y"),1,0)</f>
        <v>0</v>
      </c>
      <c r="E17">
        <f>IF(AND(B17="Y", C17="N"),1,0)</f>
        <v>0</v>
      </c>
      <c r="F17">
        <f>IF(AND(B17="N", C17="Y"),1,0)</f>
        <v>1</v>
      </c>
      <c r="G17">
        <f>IF(AND(B17="N", C17="N"),1,0)</f>
        <v>0</v>
      </c>
      <c r="H17">
        <f>IF(AND(B17="Y", C17="N/A"),1,0)</f>
        <v>0</v>
      </c>
      <c r="I17">
        <f>IF(AND(B17="N", C17="N/A"),1,0)</f>
        <v>0</v>
      </c>
    </row>
    <row r="18" spans="1:9" x14ac:dyDescent="0.35">
      <c r="A18" s="1">
        <v>21</v>
      </c>
      <c r="B18" s="7" t="s">
        <v>6</v>
      </c>
      <c r="C18" s="7" t="s">
        <v>6</v>
      </c>
      <c r="D18">
        <f>IF(AND(B18="Y", C18="Y"),1,0)</f>
        <v>0</v>
      </c>
      <c r="E18">
        <f>IF(AND(B18="Y", C18="N"),1,0)</f>
        <v>0</v>
      </c>
      <c r="F18">
        <f>IF(AND(B18="N", C18="Y"),1,0)</f>
        <v>0</v>
      </c>
      <c r="G18">
        <f>IF(AND(B18="N", C18="N"),1,0)</f>
        <v>1</v>
      </c>
      <c r="H18">
        <f>IF(AND(B18="Y", C18="N/A"),1,0)</f>
        <v>0</v>
      </c>
      <c r="I18">
        <f>IF(AND(B18="N", C18="N/A"),1,0)</f>
        <v>0</v>
      </c>
    </row>
    <row r="19" spans="1:9" x14ac:dyDescent="0.35">
      <c r="A19" s="1">
        <v>23</v>
      </c>
      <c r="B19" s="7" t="s">
        <v>6</v>
      </c>
      <c r="C19" s="7" t="s">
        <v>6</v>
      </c>
      <c r="D19">
        <f>IF(AND(B19="Y", C19="Y"),1,0)</f>
        <v>0</v>
      </c>
      <c r="E19">
        <f>IF(AND(B19="Y", C19="N"),1,0)</f>
        <v>0</v>
      </c>
      <c r="F19">
        <f>IF(AND(B19="N", C19="Y"),1,0)</f>
        <v>0</v>
      </c>
      <c r="G19">
        <f>IF(AND(B19="N", C19="N"),1,0)</f>
        <v>1</v>
      </c>
      <c r="H19">
        <f>IF(AND(B19="Y", C19="N/A"),1,0)</f>
        <v>0</v>
      </c>
      <c r="I19">
        <f>IF(AND(B19="N", C19="N/A"),1,0)</f>
        <v>0</v>
      </c>
    </row>
    <row r="20" spans="1:9" x14ac:dyDescent="0.35">
      <c r="A20" s="5">
        <v>24</v>
      </c>
      <c r="B20" s="9" t="s">
        <v>7</v>
      </c>
      <c r="C20" s="9" t="s">
        <v>7</v>
      </c>
      <c r="D20">
        <f>IF(AND(B20="Y", C20="Y"),1,0)</f>
        <v>1</v>
      </c>
      <c r="E20">
        <f>IF(AND(B20="Y", C20="N"),1,0)</f>
        <v>0</v>
      </c>
      <c r="F20">
        <f>IF(AND(B20="N", C20="Y"),1,0)</f>
        <v>0</v>
      </c>
      <c r="G20">
        <f>IF(AND(B20="N", C20="N"),1,0)</f>
        <v>0</v>
      </c>
      <c r="H20">
        <f>IF(AND(B20="Y", C20="N/A"),1,0)</f>
        <v>0</v>
      </c>
      <c r="I20">
        <f>IF(AND(B20="N", C20="N/A"),1,0)</f>
        <v>0</v>
      </c>
    </row>
    <row r="21" spans="1:9" x14ac:dyDescent="0.35">
      <c r="A21" s="1">
        <v>26</v>
      </c>
      <c r="B21" s="7" t="s">
        <v>6</v>
      </c>
      <c r="C21" s="7" t="s">
        <v>6</v>
      </c>
      <c r="D21">
        <f>IF(AND(B21="Y", C21="Y"),1,0)</f>
        <v>0</v>
      </c>
      <c r="E21">
        <f>IF(AND(B21="Y", C21="N"),1,0)</f>
        <v>0</v>
      </c>
      <c r="F21">
        <f>IF(AND(B21="N", C21="Y"),1,0)</f>
        <v>0</v>
      </c>
      <c r="G21">
        <f>IF(AND(B21="N", C21="N"),1,0)</f>
        <v>1</v>
      </c>
      <c r="H21">
        <f>IF(AND(B21="Y", C21="N/A"),1,0)</f>
        <v>0</v>
      </c>
      <c r="I21">
        <f>IF(AND(B21="N", C21="N/A"),1,0)</f>
        <v>0</v>
      </c>
    </row>
    <row r="22" spans="1:9" x14ac:dyDescent="0.35">
      <c r="A22" s="1">
        <v>27</v>
      </c>
      <c r="B22" s="7" t="s">
        <v>6</v>
      </c>
      <c r="C22" s="7" t="s">
        <v>7</v>
      </c>
      <c r="D22">
        <f>IF(AND(B22="Y", C22="Y"),1,0)</f>
        <v>0</v>
      </c>
      <c r="E22">
        <f>IF(AND(B22="Y", C22="N"),1,0)</f>
        <v>0</v>
      </c>
      <c r="F22">
        <f>IF(AND(B22="N", C22="Y"),1,0)</f>
        <v>1</v>
      </c>
      <c r="G22">
        <f>IF(AND(B22="N", C22="N"),1,0)</f>
        <v>0</v>
      </c>
      <c r="H22">
        <f>IF(AND(B22="Y", C22="N/A"),1,0)</f>
        <v>0</v>
      </c>
      <c r="I22">
        <f>IF(AND(B22="N", C22="N/A"),1,0)</f>
        <v>0</v>
      </c>
    </row>
    <row r="23" spans="1:9" x14ac:dyDescent="0.35">
      <c r="A23" s="1">
        <v>28</v>
      </c>
      <c r="B23" s="7" t="s">
        <v>6</v>
      </c>
      <c r="C23" s="7" t="s">
        <v>6</v>
      </c>
      <c r="D23">
        <f>IF(AND(B23="Y", C23="Y"),1,0)</f>
        <v>0</v>
      </c>
      <c r="E23">
        <f>IF(AND(B23="Y", C23="N"),1,0)</f>
        <v>0</v>
      </c>
      <c r="F23">
        <f>IF(AND(B23="N", C23="Y"),1,0)</f>
        <v>0</v>
      </c>
      <c r="G23">
        <f>IF(AND(B23="N", C23="N"),1,0)</f>
        <v>1</v>
      </c>
      <c r="H23">
        <f>IF(AND(B23="Y", C23="N/A"),1,0)</f>
        <v>0</v>
      </c>
      <c r="I23">
        <f>IF(AND(B23="N", C23="N/A"),1,0)</f>
        <v>0</v>
      </c>
    </row>
    <row r="24" spans="1:9" x14ac:dyDescent="0.35">
      <c r="A24" s="1">
        <v>29</v>
      </c>
      <c r="B24" s="7" t="s">
        <v>6</v>
      </c>
      <c r="C24" s="7" t="s">
        <v>6</v>
      </c>
      <c r="D24">
        <f>IF(AND(B24="Y", C24="Y"),1,0)</f>
        <v>0</v>
      </c>
      <c r="E24">
        <f>IF(AND(B24="Y", C24="N"),1,0)</f>
        <v>0</v>
      </c>
      <c r="F24">
        <f>IF(AND(B24="N", C24="Y"),1,0)</f>
        <v>0</v>
      </c>
      <c r="G24">
        <f>IF(AND(B24="N", C24="N"),1,0)</f>
        <v>1</v>
      </c>
      <c r="H24">
        <f>IF(AND(B24="Y", C24="N/A"),1,0)</f>
        <v>0</v>
      </c>
      <c r="I24">
        <f>IF(AND(B24="N", C24="N/A"),1,0)</f>
        <v>0</v>
      </c>
    </row>
    <row r="25" spans="1:9" x14ac:dyDescent="0.35">
      <c r="A25" s="1">
        <v>33</v>
      </c>
      <c r="B25" s="7" t="s">
        <v>6</v>
      </c>
      <c r="C25" s="7" t="s">
        <v>6</v>
      </c>
      <c r="D25">
        <f>IF(AND(B25="Y", C25="Y"),1,0)</f>
        <v>0</v>
      </c>
      <c r="E25">
        <f>IF(AND(B25="Y", C25="N"),1,0)</f>
        <v>0</v>
      </c>
      <c r="F25">
        <f>IF(AND(B25="N", C25="Y"),1,0)</f>
        <v>0</v>
      </c>
      <c r="G25">
        <f>IF(AND(B25="N", C25="N"),1,0)</f>
        <v>1</v>
      </c>
      <c r="H25">
        <f>IF(AND(B25="Y", C25="N/A"),1,0)</f>
        <v>0</v>
      </c>
      <c r="I25">
        <f>IF(AND(B25="N", C25="N/A"),1,0)</f>
        <v>0</v>
      </c>
    </row>
    <row r="26" spans="1:9" x14ac:dyDescent="0.35">
      <c r="A26" s="5">
        <v>37</v>
      </c>
      <c r="B26" s="9" t="s">
        <v>7</v>
      </c>
      <c r="C26" s="9" t="s">
        <v>6</v>
      </c>
      <c r="D26">
        <f>IF(AND(B26="Y", C26="Y"),1,0)</f>
        <v>0</v>
      </c>
      <c r="E26">
        <f>IF(AND(B26="Y", C26="N"),1,0)</f>
        <v>1</v>
      </c>
      <c r="F26">
        <f>IF(AND(B26="N", C26="Y"),1,0)</f>
        <v>0</v>
      </c>
      <c r="G26">
        <f>IF(AND(B26="N", C26="N"),1,0)</f>
        <v>0</v>
      </c>
      <c r="H26">
        <f>IF(AND(B26="Y", C26="N/A"),1,0)</f>
        <v>0</v>
      </c>
      <c r="I26">
        <f>IF(AND(B26="N", C26="N/A"),1,0)</f>
        <v>0</v>
      </c>
    </row>
    <row r="27" spans="1:9" x14ac:dyDescent="0.35">
      <c r="A27" s="1">
        <v>38</v>
      </c>
      <c r="B27" s="7" t="s">
        <v>6</v>
      </c>
      <c r="C27" s="7" t="s">
        <v>6</v>
      </c>
      <c r="D27">
        <f>IF(AND(B27="Y", C27="Y"),1,0)</f>
        <v>0</v>
      </c>
      <c r="E27">
        <f>IF(AND(B27="Y", C27="N"),1,0)</f>
        <v>0</v>
      </c>
      <c r="F27">
        <f>IF(AND(B27="N", C27="Y"),1,0)</f>
        <v>0</v>
      </c>
      <c r="G27">
        <f>IF(AND(B27="N", C27="N"),1,0)</f>
        <v>1</v>
      </c>
      <c r="H27">
        <f>IF(AND(B27="Y", C27="N/A"),1,0)</f>
        <v>0</v>
      </c>
      <c r="I27">
        <f>IF(AND(B27="N", C27="N/A"),1,0)</f>
        <v>0</v>
      </c>
    </row>
    <row r="28" spans="1:9" x14ac:dyDescent="0.35">
      <c r="A28" s="5">
        <v>39</v>
      </c>
      <c r="B28" s="9" t="s">
        <v>7</v>
      </c>
      <c r="C28" s="9" t="s">
        <v>6</v>
      </c>
      <c r="D28">
        <f>IF(AND(B28="Y", C28="Y"),1,0)</f>
        <v>0</v>
      </c>
      <c r="E28">
        <f>IF(AND(B28="Y", C28="N"),1,0)</f>
        <v>1</v>
      </c>
      <c r="F28">
        <f>IF(AND(B28="N", C28="Y"),1,0)</f>
        <v>0</v>
      </c>
      <c r="G28">
        <f>IF(AND(B28="N", C28="N"),1,0)</f>
        <v>0</v>
      </c>
      <c r="H28">
        <f>IF(AND(B28="Y", C28="N/A"),1,0)</f>
        <v>0</v>
      </c>
      <c r="I28">
        <f>IF(AND(B28="N", C28="N/A"),1,0)</f>
        <v>0</v>
      </c>
    </row>
    <row r="29" spans="1:9" x14ac:dyDescent="0.35">
      <c r="A29" s="1">
        <v>40</v>
      </c>
      <c r="B29" s="7" t="s">
        <v>7</v>
      </c>
      <c r="C29" s="7" t="s">
        <v>6</v>
      </c>
      <c r="D29">
        <f>IF(AND(B29="Y", C29="Y"),1,0)</f>
        <v>0</v>
      </c>
      <c r="E29">
        <f>IF(AND(B29="Y", C29="N"),1,0)</f>
        <v>1</v>
      </c>
      <c r="F29">
        <f>IF(AND(B29="N", C29="Y"),1,0)</f>
        <v>0</v>
      </c>
      <c r="G29">
        <f>IF(AND(B29="N", C29="N"),1,0)</f>
        <v>0</v>
      </c>
      <c r="H29">
        <f>IF(AND(B29="Y", C29="N/A"),1,0)</f>
        <v>0</v>
      </c>
      <c r="I29">
        <f>IF(AND(B29="N", C29="N/A"),1,0)</f>
        <v>0</v>
      </c>
    </row>
    <row r="30" spans="1:9" x14ac:dyDescent="0.35">
      <c r="A30" s="1">
        <v>41</v>
      </c>
      <c r="B30" s="7" t="s">
        <v>7</v>
      </c>
      <c r="C30" s="7" t="s">
        <v>7</v>
      </c>
      <c r="D30">
        <f>IF(AND(B30="Y", C30="Y"),1,0)</f>
        <v>1</v>
      </c>
      <c r="E30">
        <f>IF(AND(B30="Y", C30="N"),1,0)</f>
        <v>0</v>
      </c>
      <c r="F30">
        <f>IF(AND(B30="N", C30="Y"),1,0)</f>
        <v>0</v>
      </c>
      <c r="G30">
        <f>IF(AND(B30="N", C30="N"),1,0)</f>
        <v>0</v>
      </c>
      <c r="H30">
        <f>IF(AND(B30="Y", C30="N/A"),1,0)</f>
        <v>0</v>
      </c>
      <c r="I30">
        <f>IF(AND(B30="N", C30="N/A"),1,0)</f>
        <v>0</v>
      </c>
    </row>
    <row r="31" spans="1:9" x14ac:dyDescent="0.35">
      <c r="A31" s="1">
        <v>45</v>
      </c>
      <c r="B31" s="7" t="s">
        <v>6</v>
      </c>
      <c r="C31" s="7" t="s">
        <v>6</v>
      </c>
      <c r="D31">
        <f>IF(AND(B31="Y", C31="Y"),1,0)</f>
        <v>0</v>
      </c>
      <c r="E31">
        <f>IF(AND(B31="Y", C31="N"),1,0)</f>
        <v>0</v>
      </c>
      <c r="F31">
        <f>IF(AND(B31="N", C31="Y"),1,0)</f>
        <v>0</v>
      </c>
      <c r="G31">
        <f>IF(AND(B31="N", C31="N"),1,0)</f>
        <v>1</v>
      </c>
      <c r="H31">
        <f>IF(AND(B31="Y", C31="N/A"),1,0)</f>
        <v>0</v>
      </c>
      <c r="I31">
        <f>IF(AND(B31="N", C31="N/A"),1,0)</f>
        <v>0</v>
      </c>
    </row>
    <row r="32" spans="1:9" x14ac:dyDescent="0.35">
      <c r="A32" s="1">
        <v>46</v>
      </c>
      <c r="B32" s="7" t="s">
        <v>6</v>
      </c>
      <c r="C32" s="7" t="s">
        <v>6</v>
      </c>
      <c r="D32">
        <f>IF(AND(B32="Y", C32="Y"),1,0)</f>
        <v>0</v>
      </c>
      <c r="E32">
        <f>IF(AND(B32="Y", C32="N"),1,0)</f>
        <v>0</v>
      </c>
      <c r="F32">
        <f>IF(AND(B32="N", C32="Y"),1,0)</f>
        <v>0</v>
      </c>
      <c r="G32">
        <f>IF(AND(B32="N", C32="N"),1,0)</f>
        <v>1</v>
      </c>
      <c r="H32">
        <f>IF(AND(B32="Y", C32="N/A"),1,0)</f>
        <v>0</v>
      </c>
      <c r="I32">
        <f>IF(AND(B32="N", C32="N/A"),1,0)</f>
        <v>0</v>
      </c>
    </row>
    <row r="33" spans="1:9" x14ac:dyDescent="0.35">
      <c r="A33" s="1">
        <v>47</v>
      </c>
      <c r="B33" s="7" t="s">
        <v>7</v>
      </c>
      <c r="C33" s="7" t="s">
        <v>6</v>
      </c>
      <c r="D33">
        <f>IF(AND(B33="Y", C33="Y"),1,0)</f>
        <v>0</v>
      </c>
      <c r="E33">
        <f>IF(AND(B33="Y", C33="N"),1,0)</f>
        <v>1</v>
      </c>
      <c r="F33">
        <f>IF(AND(B33="N", C33="Y"),1,0)</f>
        <v>0</v>
      </c>
      <c r="G33">
        <f>IF(AND(B33="N", C33="N"),1,0)</f>
        <v>0</v>
      </c>
      <c r="H33">
        <f>IF(AND(B33="Y", C33="N/A"),1,0)</f>
        <v>0</v>
      </c>
      <c r="I33">
        <f>IF(AND(B33="N", C33="N/A"),1,0)</f>
        <v>0</v>
      </c>
    </row>
    <row r="34" spans="1:9" x14ac:dyDescent="0.35">
      <c r="A34" s="1">
        <v>48</v>
      </c>
      <c r="B34" s="7" t="s">
        <v>6</v>
      </c>
      <c r="C34" s="7" t="s">
        <v>6</v>
      </c>
      <c r="D34">
        <f>IF(AND(B34="Y", C34="Y"),1,0)</f>
        <v>0</v>
      </c>
      <c r="E34">
        <f>IF(AND(B34="Y", C34="N"),1,0)</f>
        <v>0</v>
      </c>
      <c r="F34">
        <f>IF(AND(B34="N", C34="Y"),1,0)</f>
        <v>0</v>
      </c>
      <c r="G34">
        <f>IF(AND(B34="N", C34="N"),1,0)</f>
        <v>1</v>
      </c>
      <c r="H34">
        <f>IF(AND(B34="Y", C34="N/A"),1,0)</f>
        <v>0</v>
      </c>
      <c r="I34">
        <f>IF(AND(B34="N", C34="N/A"),1,0)</f>
        <v>0</v>
      </c>
    </row>
    <row r="35" spans="1:9" x14ac:dyDescent="0.35">
      <c r="A35" s="1">
        <v>49</v>
      </c>
      <c r="B35" s="7" t="s">
        <v>6</v>
      </c>
      <c r="C35" s="7" t="s">
        <v>6</v>
      </c>
      <c r="D35">
        <f>IF(AND(B35="Y", C35="Y"),1,0)</f>
        <v>0</v>
      </c>
      <c r="E35">
        <f>IF(AND(B35="Y", C35="N"),1,0)</f>
        <v>0</v>
      </c>
      <c r="F35">
        <f>IF(AND(B35="N", C35="Y"),1,0)</f>
        <v>0</v>
      </c>
      <c r="G35">
        <f>IF(AND(B35="N", C35="N"),1,0)</f>
        <v>1</v>
      </c>
      <c r="H35">
        <f>IF(AND(B35="Y", C35="N/A"),1,0)</f>
        <v>0</v>
      </c>
      <c r="I35">
        <f>IF(AND(B35="N", C35="N/A"),1,0)</f>
        <v>0</v>
      </c>
    </row>
    <row r="36" spans="1:9" x14ac:dyDescent="0.35">
      <c r="A36" s="1">
        <v>52</v>
      </c>
      <c r="B36" s="7" t="s">
        <v>7</v>
      </c>
      <c r="C36" s="7" t="s">
        <v>7</v>
      </c>
      <c r="D36">
        <f>IF(AND(B36="Y", C36="Y"),1,0)</f>
        <v>1</v>
      </c>
      <c r="E36">
        <f>IF(AND(B36="Y", C36="N"),1,0)</f>
        <v>0</v>
      </c>
      <c r="F36">
        <f>IF(AND(B36="N", C36="Y"),1,0)</f>
        <v>0</v>
      </c>
      <c r="G36">
        <f>IF(AND(B36="N", C36="N"),1,0)</f>
        <v>0</v>
      </c>
      <c r="H36">
        <f>IF(AND(B36="Y", C36="N/A"),1,0)</f>
        <v>0</v>
      </c>
      <c r="I36">
        <f>IF(AND(B36="N", C36="N/A"),1,0)</f>
        <v>0</v>
      </c>
    </row>
    <row r="37" spans="1:9" x14ac:dyDescent="0.35">
      <c r="A37" s="1"/>
      <c r="B37" s="7"/>
      <c r="C37" s="7"/>
    </row>
    <row r="38" spans="1:9" x14ac:dyDescent="0.35">
      <c r="A38" s="1">
        <v>54</v>
      </c>
      <c r="B38" s="7" t="s">
        <v>7</v>
      </c>
      <c r="C38" s="7" t="s">
        <v>7</v>
      </c>
      <c r="D38">
        <f>IF(AND(B38="Y", C38="Y"),1,0)</f>
        <v>1</v>
      </c>
      <c r="E38">
        <f>IF(AND(B38="Y", C38="N"),1,0)</f>
        <v>0</v>
      </c>
      <c r="F38">
        <f>IF(AND(B38="N", C38="Y"),1,0)</f>
        <v>0</v>
      </c>
      <c r="G38">
        <f>IF(AND(B38="N", C38="N"),1,0)</f>
        <v>0</v>
      </c>
      <c r="H38">
        <f>IF(AND(B38="Y", C38="N/A"),1,0)</f>
        <v>0</v>
      </c>
      <c r="I38">
        <f>IF(AND(B38="N", C38="N/A"),1,0)</f>
        <v>0</v>
      </c>
    </row>
    <row r="39" spans="1:9" x14ac:dyDescent="0.35">
      <c r="A39" s="1">
        <v>55</v>
      </c>
      <c r="B39" s="7" t="s">
        <v>7</v>
      </c>
      <c r="C39" s="7" t="s">
        <v>16</v>
      </c>
      <c r="D39">
        <f>IF(AND(B39="Y", C39="Y"),1,0)</f>
        <v>0</v>
      </c>
      <c r="E39">
        <f>IF(AND(B39="Y", C39="N"),1,0)</f>
        <v>0</v>
      </c>
      <c r="F39">
        <f>IF(AND(B39="N", C39="Y"),1,0)</f>
        <v>0</v>
      </c>
      <c r="G39">
        <f>IF(AND(B39="N", C39="N"),1,0)</f>
        <v>0</v>
      </c>
      <c r="H39">
        <f>IF(AND(B39="Y", C39="N/A"),1,0)</f>
        <v>1</v>
      </c>
      <c r="I39">
        <f>IF(AND(B39="N", C39="N/A"),1,0)</f>
        <v>0</v>
      </c>
    </row>
    <row r="40" spans="1:9" x14ac:dyDescent="0.35">
      <c r="A40" s="1">
        <v>56</v>
      </c>
      <c r="B40" s="7" t="s">
        <v>7</v>
      </c>
      <c r="C40" s="7" t="s">
        <v>16</v>
      </c>
      <c r="D40">
        <f>IF(AND(B40="Y", C40="Y"),1,0)</f>
        <v>0</v>
      </c>
      <c r="E40">
        <f>IF(AND(B40="Y", C40="N"),1,0)</f>
        <v>0</v>
      </c>
      <c r="F40">
        <f>IF(AND(B40="N", C40="Y"),1,0)</f>
        <v>0</v>
      </c>
      <c r="G40">
        <f>IF(AND(B40="N", C40="N"),1,0)</f>
        <v>0</v>
      </c>
      <c r="H40">
        <f>IF(AND(B40="Y", C40="N/A"),1,0)</f>
        <v>1</v>
      </c>
      <c r="I40">
        <f>IF(AND(B40="N", C40="N/A"),1,0)</f>
        <v>0</v>
      </c>
    </row>
    <row r="41" spans="1:9" x14ac:dyDescent="0.35">
      <c r="D41">
        <f>SUM(D2:D40)</f>
        <v>8</v>
      </c>
      <c r="E41">
        <f t="shared" ref="E41:G41" si="0">SUM(E2:E40)</f>
        <v>6</v>
      </c>
      <c r="F41">
        <f t="shared" si="0"/>
        <v>2</v>
      </c>
      <c r="G41">
        <f t="shared" si="0"/>
        <v>18</v>
      </c>
      <c r="H41">
        <f t="shared" ref="H41" si="1">SUM(H2:H40)</f>
        <v>3</v>
      </c>
      <c r="I41">
        <f t="shared" ref="I41" si="2">SUM(I2:I40)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C3DA-8437-40AC-A797-A05EE8B89A6C}">
  <dimension ref="A1:J41"/>
  <sheetViews>
    <sheetView workbookViewId="0">
      <pane ySplit="1" topLeftCell="A16" activePane="bottomLeft" state="frozen"/>
      <selection pane="bottomLeft" sqref="A1:C40"/>
    </sheetView>
  </sheetViews>
  <sheetFormatPr defaultRowHeight="14.5" x14ac:dyDescent="0.35"/>
  <cols>
    <col min="3" max="3" width="13.1796875" bestFit="1" customWidth="1"/>
    <col min="4" max="4" width="14" bestFit="1" customWidth="1"/>
    <col min="5" max="5" width="13.36328125" bestFit="1" customWidth="1"/>
    <col min="6" max="6" width="17.7265625" bestFit="1" customWidth="1"/>
    <col min="7" max="7" width="17.08984375" bestFit="1" customWidth="1"/>
    <col min="8" max="8" width="15.7265625" bestFit="1" customWidth="1"/>
    <col min="9" max="9" width="19.453125" bestFit="1" customWidth="1"/>
    <col min="10" max="10" width="13.6328125" bestFit="1" customWidth="1"/>
  </cols>
  <sheetData>
    <row r="1" spans="1:10" x14ac:dyDescent="0.35">
      <c r="A1" s="3" t="s">
        <v>0</v>
      </c>
      <c r="B1" s="8" t="s">
        <v>4</v>
      </c>
      <c r="C1" s="8" t="s">
        <v>15</v>
      </c>
      <c r="D1" t="s">
        <v>37</v>
      </c>
      <c r="E1" t="s">
        <v>38</v>
      </c>
      <c r="F1" t="s">
        <v>39</v>
      </c>
      <c r="G1" t="s">
        <v>40</v>
      </c>
      <c r="H1" t="s">
        <v>36</v>
      </c>
      <c r="I1" t="s">
        <v>41</v>
      </c>
      <c r="J1" t="s">
        <v>42</v>
      </c>
    </row>
    <row r="2" spans="1:10" x14ac:dyDescent="0.35">
      <c r="A2" s="1">
        <v>1</v>
      </c>
      <c r="B2" s="7" t="s">
        <v>6</v>
      </c>
      <c r="C2" s="7" t="s">
        <v>6</v>
      </c>
      <c r="D2">
        <f>IF(AND(B2="Y", C2="Y"),1,0)</f>
        <v>0</v>
      </c>
      <c r="E2">
        <f>IF(AND(B2="Y", C2="N"),1,0)</f>
        <v>0</v>
      </c>
      <c r="F2">
        <f>IF(AND(B2="N", C2="Y"),1,0)</f>
        <v>0</v>
      </c>
      <c r="G2">
        <f>IF(AND(B2="N", C2="N"),1,0)</f>
        <v>1</v>
      </c>
      <c r="H2">
        <f>IF(AND(B2="Y", C2="N/A"),1,0)</f>
        <v>0</v>
      </c>
      <c r="I2">
        <f>IF(AND(B2="N", C2=""),1,0)</f>
        <v>0</v>
      </c>
      <c r="J2">
        <f>IF(AND(B2="Y", C2=""),1,0)</f>
        <v>0</v>
      </c>
    </row>
    <row r="3" spans="1:10" x14ac:dyDescent="0.35">
      <c r="A3" s="1">
        <v>2</v>
      </c>
      <c r="B3" s="7" t="s">
        <v>7</v>
      </c>
      <c r="C3" s="7" t="s">
        <v>6</v>
      </c>
      <c r="D3">
        <f t="shared" ref="D3:D40" si="0">IF(AND(B3="Y", C3="Y"),1,0)</f>
        <v>0</v>
      </c>
      <c r="E3">
        <f t="shared" ref="E3:E40" si="1">IF(AND(B3="Y", C3="N"),1,0)</f>
        <v>1</v>
      </c>
      <c r="F3">
        <f t="shared" ref="F3:F40" si="2">IF(AND(B3="N", C3="Y"),1,0)</f>
        <v>0</v>
      </c>
      <c r="G3">
        <f t="shared" ref="G3:G40" si="3">IF(AND(B3="N", C3="N"),1,0)</f>
        <v>0</v>
      </c>
      <c r="H3">
        <f t="shared" ref="H3:H40" si="4">IF(AND(B3="Y", C3="N/A"),1,0)</f>
        <v>0</v>
      </c>
      <c r="I3">
        <f t="shared" ref="I3:I40" si="5">IF(AND(B3="N", C3=""),1,0)</f>
        <v>0</v>
      </c>
      <c r="J3">
        <f t="shared" ref="J3:J40" si="6">IF(AND(B3="Y", C3=""),1,0)</f>
        <v>0</v>
      </c>
    </row>
    <row r="4" spans="1:10" x14ac:dyDescent="0.35">
      <c r="A4" s="1">
        <v>3</v>
      </c>
      <c r="B4" s="7" t="s">
        <v>7</v>
      </c>
      <c r="C4" s="7" t="s">
        <v>6</v>
      </c>
      <c r="D4">
        <f t="shared" si="0"/>
        <v>0</v>
      </c>
      <c r="E4">
        <f t="shared" si="1"/>
        <v>1</v>
      </c>
      <c r="F4">
        <f t="shared" si="2"/>
        <v>0</v>
      </c>
      <c r="G4">
        <f t="shared" si="3"/>
        <v>0</v>
      </c>
      <c r="H4">
        <f t="shared" si="4"/>
        <v>0</v>
      </c>
      <c r="I4">
        <f t="shared" si="5"/>
        <v>0</v>
      </c>
      <c r="J4">
        <f t="shared" si="6"/>
        <v>0</v>
      </c>
    </row>
    <row r="5" spans="1:10" x14ac:dyDescent="0.35">
      <c r="A5" s="1">
        <v>4</v>
      </c>
      <c r="B5" s="7" t="s">
        <v>6</v>
      </c>
      <c r="C5" s="7" t="s">
        <v>7</v>
      </c>
      <c r="D5">
        <f t="shared" si="0"/>
        <v>0</v>
      </c>
      <c r="E5">
        <f t="shared" si="1"/>
        <v>0</v>
      </c>
      <c r="F5">
        <f t="shared" si="2"/>
        <v>1</v>
      </c>
      <c r="G5">
        <f t="shared" si="3"/>
        <v>0</v>
      </c>
      <c r="H5">
        <f t="shared" si="4"/>
        <v>0</v>
      </c>
      <c r="I5">
        <f t="shared" si="5"/>
        <v>0</v>
      </c>
      <c r="J5">
        <f t="shared" si="6"/>
        <v>0</v>
      </c>
    </row>
    <row r="6" spans="1:10" x14ac:dyDescent="0.35">
      <c r="A6" s="1">
        <v>5</v>
      </c>
      <c r="B6" s="7" t="s">
        <v>7</v>
      </c>
      <c r="C6" s="7" t="s">
        <v>7</v>
      </c>
      <c r="D6">
        <f t="shared" si="0"/>
        <v>1</v>
      </c>
      <c r="E6">
        <f t="shared" si="1"/>
        <v>0</v>
      </c>
      <c r="F6">
        <f t="shared" si="2"/>
        <v>0</v>
      </c>
      <c r="G6">
        <f t="shared" si="3"/>
        <v>0</v>
      </c>
      <c r="H6">
        <f t="shared" si="4"/>
        <v>0</v>
      </c>
      <c r="I6">
        <f t="shared" si="5"/>
        <v>0</v>
      </c>
      <c r="J6">
        <f t="shared" si="6"/>
        <v>0</v>
      </c>
    </row>
    <row r="7" spans="1:10" x14ac:dyDescent="0.35">
      <c r="A7" s="1">
        <v>6</v>
      </c>
      <c r="B7" s="7" t="s">
        <v>7</v>
      </c>
      <c r="C7" s="7" t="s">
        <v>7</v>
      </c>
      <c r="D7">
        <f t="shared" si="0"/>
        <v>1</v>
      </c>
      <c r="E7">
        <f t="shared" si="1"/>
        <v>0</v>
      </c>
      <c r="F7">
        <f t="shared" si="2"/>
        <v>0</v>
      </c>
      <c r="G7">
        <f t="shared" si="3"/>
        <v>0</v>
      </c>
      <c r="H7">
        <f t="shared" si="4"/>
        <v>0</v>
      </c>
      <c r="I7">
        <f t="shared" si="5"/>
        <v>0</v>
      </c>
      <c r="J7">
        <f t="shared" si="6"/>
        <v>0</v>
      </c>
    </row>
    <row r="8" spans="1:10" x14ac:dyDescent="0.35">
      <c r="A8" s="1">
        <v>7</v>
      </c>
      <c r="B8" s="7" t="s">
        <v>7</v>
      </c>
      <c r="C8" s="7" t="s">
        <v>7</v>
      </c>
      <c r="D8">
        <f t="shared" si="0"/>
        <v>1</v>
      </c>
      <c r="E8">
        <f t="shared" si="1"/>
        <v>0</v>
      </c>
      <c r="F8">
        <f t="shared" si="2"/>
        <v>0</v>
      </c>
      <c r="G8">
        <f t="shared" si="3"/>
        <v>0</v>
      </c>
      <c r="H8">
        <f t="shared" si="4"/>
        <v>0</v>
      </c>
      <c r="I8">
        <f t="shared" si="5"/>
        <v>0</v>
      </c>
      <c r="J8">
        <f t="shared" si="6"/>
        <v>0</v>
      </c>
    </row>
    <row r="9" spans="1:10" x14ac:dyDescent="0.35">
      <c r="A9" s="1">
        <v>9</v>
      </c>
      <c r="B9" s="7" t="s">
        <v>6</v>
      </c>
      <c r="C9" s="7" t="s">
        <v>7</v>
      </c>
      <c r="D9">
        <f t="shared" si="0"/>
        <v>0</v>
      </c>
      <c r="E9">
        <f t="shared" si="1"/>
        <v>0</v>
      </c>
      <c r="F9">
        <f t="shared" si="2"/>
        <v>1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0</v>
      </c>
    </row>
    <row r="10" spans="1:10" x14ac:dyDescent="0.35">
      <c r="A10" s="1">
        <v>10</v>
      </c>
      <c r="B10" s="7" t="s">
        <v>6</v>
      </c>
      <c r="C10" s="7" t="s">
        <v>7</v>
      </c>
      <c r="D10">
        <f t="shared" si="0"/>
        <v>0</v>
      </c>
      <c r="E10">
        <f t="shared" si="1"/>
        <v>0</v>
      </c>
      <c r="F10">
        <f t="shared" si="2"/>
        <v>1</v>
      </c>
      <c r="G10">
        <f t="shared" si="3"/>
        <v>0</v>
      </c>
      <c r="H10">
        <f t="shared" si="4"/>
        <v>0</v>
      </c>
      <c r="I10">
        <f t="shared" si="5"/>
        <v>0</v>
      </c>
      <c r="J10">
        <f t="shared" si="6"/>
        <v>0</v>
      </c>
    </row>
    <row r="11" spans="1:10" x14ac:dyDescent="0.35">
      <c r="A11" s="1">
        <v>11</v>
      </c>
      <c r="B11" s="7" t="s">
        <v>6</v>
      </c>
      <c r="C11" s="7" t="s">
        <v>6</v>
      </c>
      <c r="D11">
        <f t="shared" si="0"/>
        <v>0</v>
      </c>
      <c r="E11">
        <f t="shared" si="1"/>
        <v>0</v>
      </c>
      <c r="F11">
        <f t="shared" si="2"/>
        <v>0</v>
      </c>
      <c r="G11">
        <f t="shared" si="3"/>
        <v>1</v>
      </c>
      <c r="H11">
        <f t="shared" si="4"/>
        <v>0</v>
      </c>
      <c r="I11">
        <f t="shared" si="5"/>
        <v>0</v>
      </c>
      <c r="J11">
        <f t="shared" si="6"/>
        <v>0</v>
      </c>
    </row>
    <row r="12" spans="1:10" x14ac:dyDescent="0.35">
      <c r="A12" s="1">
        <v>12</v>
      </c>
      <c r="B12" s="7" t="s">
        <v>6</v>
      </c>
      <c r="C12" s="7" t="s">
        <v>7</v>
      </c>
      <c r="D12">
        <f t="shared" si="0"/>
        <v>0</v>
      </c>
      <c r="E12">
        <f t="shared" si="1"/>
        <v>0</v>
      </c>
      <c r="F12">
        <f t="shared" si="2"/>
        <v>1</v>
      </c>
      <c r="G12">
        <f t="shared" si="3"/>
        <v>0</v>
      </c>
      <c r="H12">
        <f>IF(AND(B12="Y", C12="N/A"),1,0)</f>
        <v>0</v>
      </c>
      <c r="I12">
        <f t="shared" si="5"/>
        <v>0</v>
      </c>
      <c r="J12">
        <f t="shared" si="6"/>
        <v>0</v>
      </c>
    </row>
    <row r="13" spans="1:10" x14ac:dyDescent="0.35">
      <c r="A13" s="1">
        <v>14</v>
      </c>
      <c r="B13" s="7" t="s">
        <v>7</v>
      </c>
      <c r="C13" s="7" t="s">
        <v>7</v>
      </c>
      <c r="D13">
        <f t="shared" si="0"/>
        <v>1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</row>
    <row r="14" spans="1:10" x14ac:dyDescent="0.35">
      <c r="A14" s="1"/>
      <c r="B14" s="7"/>
      <c r="C14" s="7" t="s">
        <v>6</v>
      </c>
      <c r="H14">
        <f t="shared" si="4"/>
        <v>0</v>
      </c>
      <c r="I14">
        <f t="shared" si="5"/>
        <v>0</v>
      </c>
      <c r="J14">
        <f t="shared" si="6"/>
        <v>0</v>
      </c>
    </row>
    <row r="15" spans="1:10" x14ac:dyDescent="0.35">
      <c r="A15" s="1">
        <v>17</v>
      </c>
      <c r="B15" s="7" t="s">
        <v>7</v>
      </c>
      <c r="C15" s="7" t="s">
        <v>7</v>
      </c>
      <c r="D15">
        <f t="shared" si="0"/>
        <v>1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</row>
    <row r="16" spans="1:10" x14ac:dyDescent="0.35">
      <c r="A16" s="1">
        <v>18</v>
      </c>
      <c r="B16" s="7" t="s">
        <v>6</v>
      </c>
      <c r="C16" s="7" t="s">
        <v>6</v>
      </c>
      <c r="D16">
        <f t="shared" si="0"/>
        <v>0</v>
      </c>
      <c r="E16">
        <f t="shared" si="1"/>
        <v>0</v>
      </c>
      <c r="F16">
        <f t="shared" si="2"/>
        <v>0</v>
      </c>
      <c r="G16">
        <f t="shared" si="3"/>
        <v>1</v>
      </c>
      <c r="H16">
        <f t="shared" si="4"/>
        <v>0</v>
      </c>
      <c r="I16">
        <f t="shared" si="5"/>
        <v>0</v>
      </c>
      <c r="J16">
        <f t="shared" si="6"/>
        <v>0</v>
      </c>
    </row>
    <row r="17" spans="1:10" x14ac:dyDescent="0.35">
      <c r="A17" s="1">
        <v>19</v>
      </c>
      <c r="B17" s="7" t="s">
        <v>6</v>
      </c>
      <c r="C17" s="7" t="s">
        <v>6</v>
      </c>
      <c r="D17">
        <f t="shared" si="0"/>
        <v>0</v>
      </c>
      <c r="E17">
        <f t="shared" si="1"/>
        <v>0</v>
      </c>
      <c r="F17">
        <f t="shared" si="2"/>
        <v>0</v>
      </c>
      <c r="G17">
        <f t="shared" si="3"/>
        <v>1</v>
      </c>
      <c r="H17">
        <f t="shared" si="4"/>
        <v>0</v>
      </c>
      <c r="I17">
        <f t="shared" si="5"/>
        <v>0</v>
      </c>
      <c r="J17">
        <f t="shared" si="6"/>
        <v>0</v>
      </c>
    </row>
    <row r="18" spans="1:10" x14ac:dyDescent="0.35">
      <c r="A18" s="1">
        <v>21</v>
      </c>
      <c r="B18" s="7" t="s">
        <v>6</v>
      </c>
      <c r="C18" s="7" t="s">
        <v>7</v>
      </c>
      <c r="D18">
        <f t="shared" si="0"/>
        <v>0</v>
      </c>
      <c r="E18">
        <f t="shared" si="1"/>
        <v>0</v>
      </c>
      <c r="F18">
        <f t="shared" si="2"/>
        <v>1</v>
      </c>
      <c r="G18">
        <f t="shared" si="3"/>
        <v>0</v>
      </c>
      <c r="H18">
        <f t="shared" si="4"/>
        <v>0</v>
      </c>
      <c r="I18">
        <f t="shared" si="5"/>
        <v>0</v>
      </c>
      <c r="J18">
        <f t="shared" si="6"/>
        <v>0</v>
      </c>
    </row>
    <row r="19" spans="1:10" x14ac:dyDescent="0.35">
      <c r="A19" s="1">
        <v>23</v>
      </c>
      <c r="B19" s="7" t="s">
        <v>6</v>
      </c>
      <c r="C19" s="7" t="s">
        <v>6</v>
      </c>
      <c r="D19">
        <f t="shared" si="0"/>
        <v>0</v>
      </c>
      <c r="E19">
        <f t="shared" si="1"/>
        <v>0</v>
      </c>
      <c r="F19">
        <f t="shared" si="2"/>
        <v>0</v>
      </c>
      <c r="G19">
        <f t="shared" si="3"/>
        <v>1</v>
      </c>
      <c r="H19">
        <f t="shared" si="4"/>
        <v>0</v>
      </c>
      <c r="I19">
        <f t="shared" si="5"/>
        <v>0</v>
      </c>
      <c r="J19">
        <f t="shared" si="6"/>
        <v>0</v>
      </c>
    </row>
    <row r="20" spans="1:10" x14ac:dyDescent="0.35">
      <c r="A20" s="5">
        <v>24</v>
      </c>
      <c r="B20" s="9" t="s">
        <v>7</v>
      </c>
      <c r="C20" s="9" t="s">
        <v>7</v>
      </c>
      <c r="D20">
        <f t="shared" si="0"/>
        <v>1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0</v>
      </c>
    </row>
    <row r="21" spans="1:10" x14ac:dyDescent="0.35">
      <c r="A21" s="1">
        <v>26</v>
      </c>
      <c r="B21" s="7" t="s">
        <v>6</v>
      </c>
      <c r="C21" s="7" t="s">
        <v>6</v>
      </c>
      <c r="D21">
        <f t="shared" si="0"/>
        <v>0</v>
      </c>
      <c r="E21">
        <f t="shared" si="1"/>
        <v>0</v>
      </c>
      <c r="F21">
        <f t="shared" si="2"/>
        <v>0</v>
      </c>
      <c r="G21">
        <f t="shared" si="3"/>
        <v>1</v>
      </c>
      <c r="H21">
        <f t="shared" si="4"/>
        <v>0</v>
      </c>
      <c r="I21">
        <f t="shared" si="5"/>
        <v>0</v>
      </c>
      <c r="J21">
        <f t="shared" si="6"/>
        <v>0</v>
      </c>
    </row>
    <row r="22" spans="1:10" x14ac:dyDescent="0.35">
      <c r="A22" s="1">
        <v>27</v>
      </c>
      <c r="B22" s="7" t="s">
        <v>6</v>
      </c>
      <c r="C22" s="7" t="s">
        <v>6</v>
      </c>
      <c r="D22">
        <f t="shared" si="0"/>
        <v>0</v>
      </c>
      <c r="E22">
        <f t="shared" si="1"/>
        <v>0</v>
      </c>
      <c r="F22">
        <f t="shared" si="2"/>
        <v>0</v>
      </c>
      <c r="G22">
        <f t="shared" si="3"/>
        <v>1</v>
      </c>
      <c r="H22">
        <f t="shared" si="4"/>
        <v>0</v>
      </c>
      <c r="I22">
        <f t="shared" si="5"/>
        <v>0</v>
      </c>
      <c r="J22">
        <f t="shared" si="6"/>
        <v>0</v>
      </c>
    </row>
    <row r="23" spans="1:10" x14ac:dyDescent="0.35">
      <c r="A23" s="1">
        <v>28</v>
      </c>
      <c r="B23" s="7" t="s">
        <v>6</v>
      </c>
      <c r="C23" s="7" t="s">
        <v>6</v>
      </c>
      <c r="D23">
        <f t="shared" si="0"/>
        <v>0</v>
      </c>
      <c r="E23">
        <f t="shared" si="1"/>
        <v>0</v>
      </c>
      <c r="F23">
        <f t="shared" si="2"/>
        <v>0</v>
      </c>
      <c r="G23">
        <f t="shared" si="3"/>
        <v>1</v>
      </c>
      <c r="H23">
        <f t="shared" si="4"/>
        <v>0</v>
      </c>
      <c r="I23">
        <f t="shared" si="5"/>
        <v>0</v>
      </c>
      <c r="J23">
        <f t="shared" si="6"/>
        <v>0</v>
      </c>
    </row>
    <row r="24" spans="1:10" x14ac:dyDescent="0.35">
      <c r="A24" s="1">
        <v>29</v>
      </c>
      <c r="B24" s="7" t="s">
        <v>6</v>
      </c>
      <c r="C24" s="7" t="s">
        <v>7</v>
      </c>
      <c r="D24">
        <f t="shared" si="0"/>
        <v>0</v>
      </c>
      <c r="E24">
        <f t="shared" si="1"/>
        <v>0</v>
      </c>
      <c r="F24">
        <f t="shared" si="2"/>
        <v>1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</row>
    <row r="25" spans="1:10" x14ac:dyDescent="0.35">
      <c r="A25" s="1">
        <v>33</v>
      </c>
      <c r="B25" s="7" t="s">
        <v>6</v>
      </c>
      <c r="C25" s="7" t="s">
        <v>7</v>
      </c>
      <c r="D25">
        <f t="shared" si="0"/>
        <v>0</v>
      </c>
      <c r="E25">
        <f t="shared" si="1"/>
        <v>0</v>
      </c>
      <c r="F25">
        <f t="shared" si="2"/>
        <v>1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</row>
    <row r="26" spans="1:10" x14ac:dyDescent="0.35">
      <c r="A26" s="5">
        <v>37</v>
      </c>
      <c r="B26" s="9" t="s">
        <v>7</v>
      </c>
      <c r="C26" s="9" t="s">
        <v>7</v>
      </c>
      <c r="D26">
        <f t="shared" si="0"/>
        <v>1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f t="shared" si="5"/>
        <v>0</v>
      </c>
      <c r="J26">
        <f t="shared" si="6"/>
        <v>0</v>
      </c>
    </row>
    <row r="27" spans="1:10" x14ac:dyDescent="0.35">
      <c r="A27" s="1">
        <v>38</v>
      </c>
      <c r="B27" s="7" t="s">
        <v>6</v>
      </c>
      <c r="C27" s="7" t="s">
        <v>6</v>
      </c>
      <c r="D27">
        <f t="shared" si="0"/>
        <v>0</v>
      </c>
      <c r="E27">
        <f t="shared" si="1"/>
        <v>0</v>
      </c>
      <c r="F27">
        <f t="shared" si="2"/>
        <v>0</v>
      </c>
      <c r="G27">
        <f t="shared" si="3"/>
        <v>1</v>
      </c>
      <c r="H27">
        <f t="shared" si="4"/>
        <v>0</v>
      </c>
      <c r="I27">
        <f t="shared" si="5"/>
        <v>0</v>
      </c>
      <c r="J27">
        <f t="shared" si="6"/>
        <v>0</v>
      </c>
    </row>
    <row r="28" spans="1:10" x14ac:dyDescent="0.35">
      <c r="A28" s="5">
        <v>39</v>
      </c>
      <c r="B28" s="9" t="s">
        <v>7</v>
      </c>
      <c r="C28" s="9" t="s">
        <v>6</v>
      </c>
      <c r="D28">
        <f t="shared" si="0"/>
        <v>0</v>
      </c>
      <c r="E28">
        <f t="shared" si="1"/>
        <v>1</v>
      </c>
      <c r="F28">
        <f t="shared" si="2"/>
        <v>0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</row>
    <row r="29" spans="1:10" x14ac:dyDescent="0.35">
      <c r="A29" s="1">
        <v>40</v>
      </c>
      <c r="B29" s="7" t="s">
        <v>7</v>
      </c>
      <c r="C29" s="7"/>
      <c r="D29">
        <f t="shared" si="0"/>
        <v>0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0</v>
      </c>
      <c r="I29">
        <f t="shared" si="5"/>
        <v>0</v>
      </c>
      <c r="J29">
        <f t="shared" si="6"/>
        <v>1</v>
      </c>
    </row>
    <row r="30" spans="1:10" x14ac:dyDescent="0.35">
      <c r="A30" s="1">
        <v>41</v>
      </c>
      <c r="B30" s="7" t="s">
        <v>7</v>
      </c>
      <c r="C30" s="7" t="s">
        <v>7</v>
      </c>
      <c r="D30">
        <f t="shared" si="0"/>
        <v>1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  <c r="I30">
        <f t="shared" si="5"/>
        <v>0</v>
      </c>
      <c r="J30">
        <f t="shared" si="6"/>
        <v>0</v>
      </c>
    </row>
    <row r="31" spans="1:10" x14ac:dyDescent="0.35">
      <c r="A31" s="1">
        <v>45</v>
      </c>
      <c r="B31" s="7" t="s">
        <v>6</v>
      </c>
      <c r="C31" s="7" t="s">
        <v>6</v>
      </c>
      <c r="D31">
        <f t="shared" si="0"/>
        <v>0</v>
      </c>
      <c r="E31">
        <f t="shared" si="1"/>
        <v>0</v>
      </c>
      <c r="F31">
        <f t="shared" si="2"/>
        <v>0</v>
      </c>
      <c r="G31">
        <f t="shared" si="3"/>
        <v>1</v>
      </c>
      <c r="H31">
        <f t="shared" si="4"/>
        <v>0</v>
      </c>
      <c r="I31">
        <f t="shared" si="5"/>
        <v>0</v>
      </c>
      <c r="J31">
        <f t="shared" si="6"/>
        <v>0</v>
      </c>
    </row>
    <row r="32" spans="1:10" x14ac:dyDescent="0.35">
      <c r="A32" s="1">
        <v>46</v>
      </c>
      <c r="B32" s="7" t="s">
        <v>6</v>
      </c>
      <c r="C32" s="7" t="s">
        <v>7</v>
      </c>
      <c r="D32">
        <f t="shared" si="0"/>
        <v>0</v>
      </c>
      <c r="E32">
        <f t="shared" si="1"/>
        <v>0</v>
      </c>
      <c r="F32">
        <f t="shared" si="2"/>
        <v>1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</row>
    <row r="33" spans="1:10" x14ac:dyDescent="0.35">
      <c r="A33" s="1">
        <v>47</v>
      </c>
      <c r="B33" s="7" t="s">
        <v>7</v>
      </c>
      <c r="C33" s="7" t="s">
        <v>6</v>
      </c>
      <c r="D33">
        <f t="shared" si="0"/>
        <v>0</v>
      </c>
      <c r="E33">
        <f t="shared" si="1"/>
        <v>1</v>
      </c>
      <c r="F33">
        <f t="shared" si="2"/>
        <v>0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</row>
    <row r="34" spans="1:10" x14ac:dyDescent="0.35">
      <c r="A34" s="1">
        <v>48</v>
      </c>
      <c r="B34" s="7" t="s">
        <v>6</v>
      </c>
      <c r="C34" s="7" t="s">
        <v>7</v>
      </c>
      <c r="D34">
        <f t="shared" si="0"/>
        <v>0</v>
      </c>
      <c r="E34">
        <f t="shared" si="1"/>
        <v>0</v>
      </c>
      <c r="F34">
        <f t="shared" si="2"/>
        <v>1</v>
      </c>
      <c r="G34">
        <f t="shared" si="3"/>
        <v>0</v>
      </c>
      <c r="H34">
        <f t="shared" si="4"/>
        <v>0</v>
      </c>
      <c r="I34">
        <f t="shared" si="5"/>
        <v>0</v>
      </c>
      <c r="J34">
        <f t="shared" si="6"/>
        <v>0</v>
      </c>
    </row>
    <row r="35" spans="1:10" x14ac:dyDescent="0.35">
      <c r="A35" s="1">
        <v>49</v>
      </c>
      <c r="B35" s="7" t="s">
        <v>6</v>
      </c>
      <c r="C35" s="7" t="s">
        <v>6</v>
      </c>
      <c r="D35">
        <f t="shared" si="0"/>
        <v>0</v>
      </c>
      <c r="E35">
        <f t="shared" si="1"/>
        <v>0</v>
      </c>
      <c r="F35">
        <f t="shared" si="2"/>
        <v>0</v>
      </c>
      <c r="G35">
        <f t="shared" si="3"/>
        <v>1</v>
      </c>
      <c r="H35">
        <f t="shared" si="4"/>
        <v>0</v>
      </c>
      <c r="I35">
        <f t="shared" si="5"/>
        <v>0</v>
      </c>
      <c r="J35">
        <f t="shared" si="6"/>
        <v>0</v>
      </c>
    </row>
    <row r="36" spans="1:10" x14ac:dyDescent="0.35">
      <c r="A36" s="1">
        <v>52</v>
      </c>
      <c r="B36" s="7" t="s">
        <v>7</v>
      </c>
      <c r="C36" s="7" t="s">
        <v>6</v>
      </c>
      <c r="D36">
        <f t="shared" si="0"/>
        <v>0</v>
      </c>
      <c r="E36">
        <f t="shared" si="1"/>
        <v>1</v>
      </c>
      <c r="F36">
        <f t="shared" si="2"/>
        <v>0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</row>
    <row r="37" spans="1:10" x14ac:dyDescent="0.35">
      <c r="A37" s="1">
        <v>53</v>
      </c>
      <c r="B37" s="7" t="s">
        <v>7</v>
      </c>
      <c r="C37" s="7" t="s">
        <v>6</v>
      </c>
      <c r="D37">
        <f t="shared" si="0"/>
        <v>0</v>
      </c>
      <c r="E37">
        <f t="shared" si="1"/>
        <v>1</v>
      </c>
      <c r="F37">
        <f t="shared" si="2"/>
        <v>0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</row>
    <row r="38" spans="1:10" x14ac:dyDescent="0.35">
      <c r="A38" s="1">
        <v>54</v>
      </c>
      <c r="B38" s="7" t="s">
        <v>7</v>
      </c>
      <c r="C38" s="7" t="s">
        <v>6</v>
      </c>
      <c r="D38">
        <f t="shared" si="0"/>
        <v>0</v>
      </c>
      <c r="E38">
        <f t="shared" si="1"/>
        <v>1</v>
      </c>
      <c r="F38">
        <f t="shared" si="2"/>
        <v>0</v>
      </c>
      <c r="G38">
        <f t="shared" si="3"/>
        <v>0</v>
      </c>
      <c r="H38">
        <f t="shared" si="4"/>
        <v>0</v>
      </c>
      <c r="I38">
        <f t="shared" si="5"/>
        <v>0</v>
      </c>
      <c r="J38">
        <f t="shared" si="6"/>
        <v>0</v>
      </c>
    </row>
    <row r="39" spans="1:10" x14ac:dyDescent="0.35">
      <c r="A39" s="1">
        <v>55</v>
      </c>
      <c r="B39" s="7" t="s">
        <v>7</v>
      </c>
      <c r="C39" s="7" t="s">
        <v>6</v>
      </c>
      <c r="D39">
        <f t="shared" si="0"/>
        <v>0</v>
      </c>
      <c r="E39">
        <f t="shared" si="1"/>
        <v>1</v>
      </c>
      <c r="F39">
        <f t="shared" si="2"/>
        <v>0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</row>
    <row r="40" spans="1:10" x14ac:dyDescent="0.35">
      <c r="A40" s="1">
        <v>56</v>
      </c>
      <c r="B40" s="7" t="s">
        <v>7</v>
      </c>
      <c r="C40" s="7" t="s">
        <v>7</v>
      </c>
      <c r="D40">
        <f t="shared" si="0"/>
        <v>1</v>
      </c>
      <c r="E40">
        <f t="shared" si="1"/>
        <v>0</v>
      </c>
      <c r="F40">
        <f t="shared" si="2"/>
        <v>0</v>
      </c>
      <c r="G40">
        <f t="shared" si="3"/>
        <v>0</v>
      </c>
      <c r="H40">
        <f t="shared" si="4"/>
        <v>0</v>
      </c>
      <c r="I40">
        <f t="shared" si="5"/>
        <v>0</v>
      </c>
      <c r="J40">
        <f t="shared" si="6"/>
        <v>0</v>
      </c>
    </row>
    <row r="41" spans="1:10" x14ac:dyDescent="0.35">
      <c r="D41">
        <f>SUM(D2:D40)</f>
        <v>9</v>
      </c>
      <c r="E41">
        <f t="shared" ref="E41:J41" si="7">SUM(E2:E40)</f>
        <v>8</v>
      </c>
      <c r="F41">
        <f t="shared" si="7"/>
        <v>9</v>
      </c>
      <c r="G41">
        <f t="shared" si="7"/>
        <v>11</v>
      </c>
      <c r="H41">
        <f t="shared" si="7"/>
        <v>0</v>
      </c>
      <c r="I41">
        <f t="shared" si="7"/>
        <v>0</v>
      </c>
      <c r="J41">
        <f t="shared" si="7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4047-C796-416A-BAD9-F937EE83BAE2}">
  <dimension ref="A1:D42"/>
  <sheetViews>
    <sheetView tabSelected="1" topLeftCell="A22" workbookViewId="0">
      <selection activeCell="D42" sqref="D42"/>
    </sheetView>
  </sheetViews>
  <sheetFormatPr defaultRowHeight="14.5" x14ac:dyDescent="0.35"/>
  <sheetData>
    <row r="1" spans="1:4" x14ac:dyDescent="0.35">
      <c r="A1" s="3" t="s">
        <v>0</v>
      </c>
      <c r="B1" s="8" t="s">
        <v>4</v>
      </c>
      <c r="C1" s="8" t="s">
        <v>15</v>
      </c>
      <c r="D1" s="8" t="s">
        <v>14</v>
      </c>
    </row>
    <row r="2" spans="1:4" x14ac:dyDescent="0.35">
      <c r="A2" s="1">
        <v>1</v>
      </c>
      <c r="B2" s="7" t="s">
        <v>6</v>
      </c>
      <c r="C2" s="7" t="s">
        <v>6</v>
      </c>
      <c r="D2" s="7" t="s">
        <v>6</v>
      </c>
    </row>
    <row r="3" spans="1:4" x14ac:dyDescent="0.35">
      <c r="A3" s="1">
        <v>2</v>
      </c>
      <c r="B3" s="7" t="s">
        <v>7</v>
      </c>
      <c r="C3" s="7" t="s">
        <v>6</v>
      </c>
      <c r="D3" s="7" t="s">
        <v>16</v>
      </c>
    </row>
    <row r="4" spans="1:4" x14ac:dyDescent="0.35">
      <c r="A4" s="1">
        <v>3</v>
      </c>
      <c r="B4" s="7" t="s">
        <v>7</v>
      </c>
      <c r="C4" s="7" t="s">
        <v>6</v>
      </c>
      <c r="D4" s="7" t="s">
        <v>7</v>
      </c>
    </row>
    <row r="5" spans="1:4" x14ac:dyDescent="0.35">
      <c r="A5" s="1">
        <v>4</v>
      </c>
      <c r="B5" s="7" t="s">
        <v>6</v>
      </c>
      <c r="C5" s="7" t="s">
        <v>7</v>
      </c>
      <c r="D5" s="7" t="s">
        <v>6</v>
      </c>
    </row>
    <row r="6" spans="1:4" x14ac:dyDescent="0.35">
      <c r="A6" s="1">
        <v>5</v>
      </c>
      <c r="B6" s="7" t="s">
        <v>7</v>
      </c>
      <c r="C6" s="7" t="s">
        <v>7</v>
      </c>
      <c r="D6" s="7" t="s">
        <v>7</v>
      </c>
    </row>
    <row r="7" spans="1:4" x14ac:dyDescent="0.35">
      <c r="A7" s="1">
        <v>6</v>
      </c>
      <c r="B7" s="7" t="s">
        <v>7</v>
      </c>
      <c r="C7" s="7" t="s">
        <v>7</v>
      </c>
      <c r="D7" s="7" t="s">
        <v>7</v>
      </c>
    </row>
    <row r="8" spans="1:4" x14ac:dyDescent="0.35">
      <c r="A8" s="1">
        <v>7</v>
      </c>
      <c r="B8" s="7" t="s">
        <v>7</v>
      </c>
      <c r="C8" s="7" t="s">
        <v>7</v>
      </c>
      <c r="D8" s="7" t="s">
        <v>7</v>
      </c>
    </row>
    <row r="9" spans="1:4" x14ac:dyDescent="0.35">
      <c r="A9" s="1">
        <v>9</v>
      </c>
      <c r="B9" s="7" t="s">
        <v>6</v>
      </c>
      <c r="C9" s="7" t="s">
        <v>7</v>
      </c>
      <c r="D9" s="7" t="s">
        <v>6</v>
      </c>
    </row>
    <row r="10" spans="1:4" x14ac:dyDescent="0.35">
      <c r="A10" s="1">
        <v>10</v>
      </c>
      <c r="B10" s="7" t="s">
        <v>6</v>
      </c>
      <c r="C10" s="7" t="s">
        <v>7</v>
      </c>
      <c r="D10" s="7" t="s">
        <v>6</v>
      </c>
    </row>
    <row r="11" spans="1:4" x14ac:dyDescent="0.35">
      <c r="A11" s="1">
        <v>11</v>
      </c>
      <c r="B11" s="7" t="s">
        <v>6</v>
      </c>
      <c r="C11" s="7" t="s">
        <v>6</v>
      </c>
      <c r="D11" s="7" t="s">
        <v>6</v>
      </c>
    </row>
    <row r="12" spans="1:4" x14ac:dyDescent="0.35">
      <c r="A12" s="1">
        <v>12</v>
      </c>
      <c r="B12" s="7" t="s">
        <v>6</v>
      </c>
      <c r="C12" s="7" t="s">
        <v>7</v>
      </c>
      <c r="D12" s="7" t="s">
        <v>6</v>
      </c>
    </row>
    <row r="13" spans="1:4" x14ac:dyDescent="0.35">
      <c r="A13" s="1">
        <v>14</v>
      </c>
      <c r="B13" s="7" t="s">
        <v>7</v>
      </c>
      <c r="C13" s="7" t="s">
        <v>7</v>
      </c>
      <c r="D13" s="7" t="s">
        <v>6</v>
      </c>
    </row>
    <row r="14" spans="1:4" x14ac:dyDescent="0.35">
      <c r="A14" s="1"/>
      <c r="B14" s="7"/>
      <c r="C14" s="7"/>
      <c r="D14" s="7"/>
    </row>
    <row r="15" spans="1:4" x14ac:dyDescent="0.35">
      <c r="A15" s="1">
        <v>17</v>
      </c>
      <c r="B15" s="7" t="s">
        <v>7</v>
      </c>
      <c r="C15" s="7" t="s">
        <v>7</v>
      </c>
      <c r="D15" s="7" t="s">
        <v>6</v>
      </c>
    </row>
    <row r="16" spans="1:4" x14ac:dyDescent="0.35">
      <c r="A16" s="1">
        <v>18</v>
      </c>
      <c r="B16" s="7" t="s">
        <v>6</v>
      </c>
      <c r="C16" s="7" t="s">
        <v>6</v>
      </c>
      <c r="D16" s="7" t="s">
        <v>6</v>
      </c>
    </row>
    <row r="17" spans="1:4" x14ac:dyDescent="0.35">
      <c r="A17" s="1">
        <v>19</v>
      </c>
      <c r="B17" s="7" t="s">
        <v>6</v>
      </c>
      <c r="C17" s="7" t="s">
        <v>6</v>
      </c>
      <c r="D17" s="7" t="s">
        <v>7</v>
      </c>
    </row>
    <row r="18" spans="1:4" x14ac:dyDescent="0.35">
      <c r="A18" s="1">
        <v>21</v>
      </c>
      <c r="B18" s="7" t="s">
        <v>6</v>
      </c>
      <c r="C18" s="7" t="s">
        <v>7</v>
      </c>
      <c r="D18" s="7" t="s">
        <v>6</v>
      </c>
    </row>
    <row r="19" spans="1:4" x14ac:dyDescent="0.35">
      <c r="A19" s="1">
        <v>23</v>
      </c>
      <c r="B19" s="7" t="s">
        <v>6</v>
      </c>
      <c r="C19" s="7" t="s">
        <v>6</v>
      </c>
      <c r="D19" s="7" t="s">
        <v>6</v>
      </c>
    </row>
    <row r="20" spans="1:4" x14ac:dyDescent="0.35">
      <c r="A20" s="5">
        <v>24</v>
      </c>
      <c r="B20" s="9" t="s">
        <v>7</v>
      </c>
      <c r="C20" s="9" t="s">
        <v>7</v>
      </c>
      <c r="D20" s="9" t="s">
        <v>7</v>
      </c>
    </row>
    <row r="21" spans="1:4" x14ac:dyDescent="0.35">
      <c r="A21" s="1">
        <v>26</v>
      </c>
      <c r="B21" s="7" t="s">
        <v>6</v>
      </c>
      <c r="C21" s="7" t="s">
        <v>6</v>
      </c>
      <c r="D21" s="7" t="s">
        <v>6</v>
      </c>
    </row>
    <row r="22" spans="1:4" x14ac:dyDescent="0.35">
      <c r="A22" s="1">
        <v>27</v>
      </c>
      <c r="B22" s="7" t="s">
        <v>6</v>
      </c>
      <c r="C22" s="7" t="s">
        <v>6</v>
      </c>
      <c r="D22" s="7" t="s">
        <v>7</v>
      </c>
    </row>
    <row r="23" spans="1:4" x14ac:dyDescent="0.35">
      <c r="A23" s="1">
        <v>28</v>
      </c>
      <c r="B23" s="7" t="s">
        <v>6</v>
      </c>
      <c r="C23" s="7" t="s">
        <v>6</v>
      </c>
      <c r="D23" s="7" t="s">
        <v>6</v>
      </c>
    </row>
    <row r="24" spans="1:4" x14ac:dyDescent="0.35">
      <c r="A24" s="1">
        <v>29</v>
      </c>
      <c r="B24" s="7" t="s">
        <v>6</v>
      </c>
      <c r="C24" s="7" t="s">
        <v>7</v>
      </c>
      <c r="D24" s="7" t="s">
        <v>6</v>
      </c>
    </row>
    <row r="25" spans="1:4" x14ac:dyDescent="0.35">
      <c r="A25" s="1">
        <v>33</v>
      </c>
      <c r="B25" s="7" t="s">
        <v>6</v>
      </c>
      <c r="C25" s="7" t="s">
        <v>7</v>
      </c>
      <c r="D25" s="7" t="s">
        <v>6</v>
      </c>
    </row>
    <row r="26" spans="1:4" x14ac:dyDescent="0.35">
      <c r="A26" s="5">
        <v>37</v>
      </c>
      <c r="B26" s="9" t="s">
        <v>7</v>
      </c>
      <c r="C26" s="9" t="s">
        <v>7</v>
      </c>
      <c r="D26" s="9" t="s">
        <v>6</v>
      </c>
    </row>
    <row r="27" spans="1:4" x14ac:dyDescent="0.35">
      <c r="A27" s="1">
        <v>38</v>
      </c>
      <c r="B27" s="7" t="s">
        <v>6</v>
      </c>
      <c r="C27" s="7" t="s">
        <v>6</v>
      </c>
      <c r="D27" s="7" t="s">
        <v>6</v>
      </c>
    </row>
    <row r="28" spans="1:4" x14ac:dyDescent="0.35">
      <c r="A28" s="5">
        <v>39</v>
      </c>
      <c r="B28" s="9" t="s">
        <v>7</v>
      </c>
      <c r="C28" s="9" t="s">
        <v>6</v>
      </c>
      <c r="D28" s="9" t="s">
        <v>6</v>
      </c>
    </row>
    <row r="29" spans="1:4" x14ac:dyDescent="0.35">
      <c r="A29" s="1">
        <v>40</v>
      </c>
      <c r="B29" s="7" t="s">
        <v>7</v>
      </c>
      <c r="C29" s="7"/>
      <c r="D29" s="7" t="s">
        <v>6</v>
      </c>
    </row>
    <row r="30" spans="1:4" x14ac:dyDescent="0.35">
      <c r="A30" s="1">
        <v>41</v>
      </c>
      <c r="B30" s="7" t="s">
        <v>7</v>
      </c>
      <c r="C30" s="7" t="s">
        <v>7</v>
      </c>
      <c r="D30" s="7" t="s">
        <v>7</v>
      </c>
    </row>
    <row r="31" spans="1:4" x14ac:dyDescent="0.35">
      <c r="A31" s="1">
        <v>45</v>
      </c>
      <c r="B31" s="7" t="s">
        <v>6</v>
      </c>
      <c r="C31" s="7" t="s">
        <v>6</v>
      </c>
      <c r="D31" s="7" t="s">
        <v>6</v>
      </c>
    </row>
    <row r="32" spans="1:4" x14ac:dyDescent="0.35">
      <c r="A32" s="1">
        <v>46</v>
      </c>
      <c r="B32" s="7" t="s">
        <v>6</v>
      </c>
      <c r="C32" s="7" t="s">
        <v>7</v>
      </c>
      <c r="D32" s="7" t="s">
        <v>6</v>
      </c>
    </row>
    <row r="33" spans="1:4" x14ac:dyDescent="0.35">
      <c r="A33" s="1">
        <v>47</v>
      </c>
      <c r="B33" s="7" t="s">
        <v>7</v>
      </c>
      <c r="C33" s="7" t="s">
        <v>6</v>
      </c>
      <c r="D33" s="7" t="s">
        <v>6</v>
      </c>
    </row>
    <row r="34" spans="1:4" x14ac:dyDescent="0.35">
      <c r="A34" s="1">
        <v>48</v>
      </c>
      <c r="B34" s="7" t="s">
        <v>6</v>
      </c>
      <c r="C34" s="7" t="s">
        <v>7</v>
      </c>
      <c r="D34" s="7" t="s">
        <v>6</v>
      </c>
    </row>
    <row r="35" spans="1:4" x14ac:dyDescent="0.35">
      <c r="A35" s="1">
        <v>49</v>
      </c>
      <c r="B35" s="7" t="s">
        <v>6</v>
      </c>
      <c r="C35" s="7" t="s">
        <v>6</v>
      </c>
      <c r="D35" s="7" t="s">
        <v>6</v>
      </c>
    </row>
    <row r="36" spans="1:4" x14ac:dyDescent="0.35">
      <c r="A36" s="1">
        <v>52</v>
      </c>
      <c r="B36" s="7" t="s">
        <v>7</v>
      </c>
      <c r="C36" s="7" t="s">
        <v>6</v>
      </c>
      <c r="D36" s="7" t="s">
        <v>7</v>
      </c>
    </row>
    <row r="37" spans="1:4" x14ac:dyDescent="0.35">
      <c r="A37" s="1"/>
      <c r="B37" s="7"/>
      <c r="C37" s="7"/>
      <c r="D37" s="7"/>
    </row>
    <row r="38" spans="1:4" x14ac:dyDescent="0.35">
      <c r="A38" s="1">
        <v>54</v>
      </c>
      <c r="B38" s="7" t="s">
        <v>7</v>
      </c>
      <c r="C38" s="7" t="s">
        <v>6</v>
      </c>
      <c r="D38" s="7" t="s">
        <v>7</v>
      </c>
    </row>
    <row r="39" spans="1:4" x14ac:dyDescent="0.35">
      <c r="A39" s="1">
        <v>55</v>
      </c>
      <c r="B39" s="7" t="s">
        <v>7</v>
      </c>
      <c r="C39" s="7" t="s">
        <v>6</v>
      </c>
      <c r="D39" s="7" t="s">
        <v>16</v>
      </c>
    </row>
    <row r="40" spans="1:4" x14ac:dyDescent="0.35">
      <c r="A40" s="1">
        <v>56</v>
      </c>
      <c r="B40" s="7" t="s">
        <v>7</v>
      </c>
      <c r="C40" s="7" t="s">
        <v>7</v>
      </c>
      <c r="D40" s="7" t="s">
        <v>16</v>
      </c>
    </row>
    <row r="41" spans="1:4" x14ac:dyDescent="0.35">
      <c r="A41" t="s">
        <v>7</v>
      </c>
      <c r="B41">
        <f>COUNTIF(B2:B40, "Y")</f>
        <v>17</v>
      </c>
      <c r="C41">
        <f t="shared" ref="C41:D41" si="0">COUNTIF(C2:C40, "Y")</f>
        <v>18</v>
      </c>
      <c r="D41">
        <f t="shared" si="0"/>
        <v>10</v>
      </c>
    </row>
    <row r="42" spans="1:4" x14ac:dyDescent="0.35">
      <c r="A42" t="s">
        <v>6</v>
      </c>
      <c r="B42">
        <f>COUNTIF(B2:B40, "N")</f>
        <v>20</v>
      </c>
      <c r="C42">
        <f t="shared" ref="C42:D42" si="1">COUNTIF(C2:C40, "N")</f>
        <v>18</v>
      </c>
      <c r="D42">
        <f t="shared" si="1"/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2visits</vt:lpstr>
      <vt:lpstr>amyloid and mci</vt:lpstr>
      <vt:lpstr>QRisk and MCI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Eudora Yap</dc:creator>
  <cp:lastModifiedBy>Eudora Yap</cp:lastModifiedBy>
  <dcterms:created xsi:type="dcterms:W3CDTF">2026-03-03T19:02:12Z</dcterms:created>
  <dcterms:modified xsi:type="dcterms:W3CDTF">2026-09-24T21:58:22Z</dcterms:modified>
</cp:coreProperties>
</file>